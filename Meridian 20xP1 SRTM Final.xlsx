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JimHinsey\Downloads\"/>
    </mc:Choice>
  </mc:AlternateContent>
  <xr:revisionPtr revIDLastSave="0" documentId="13_ncr:1_{D773499E-FBAD-4C40-9736-463C65257BD5}" xr6:coauthVersionLast="47" xr6:coauthVersionMax="47" xr10:uidLastSave="{00000000-0000-0000-0000-000000000000}"/>
  <bookViews>
    <workbookView xWindow="23790" yWindow="5715" windowWidth="20895" windowHeight="11055" xr2:uid="{00000000-000D-0000-FFFF-FFFF00000000}"/>
  </bookViews>
  <sheets>
    <sheet name="Assessment Overview" sheetId="1" r:id="rId1"/>
    <sheet name="KSI Assessment Details" sheetId="2" r:id="rId2"/>
    <sheet name="KSI Requirements" sheetId="3" r:id="rId3"/>
    <sheet name="MAS Assessment" sheetId="4" r:id="rId4"/>
    <sheet name="Evidence Tracker" sheetId="5" r:id="rId5"/>
    <sheet name="Findings &amp; Recommendations" sheetId="6" r:id="rId6"/>
  </sheets>
  <definedNames>
    <definedName name="_xlnm._FilterDatabase" localSheetId="1" hidden="1">'KSI Assessment Details'!$A$3:$L$13</definedName>
    <definedName name="_xlnm._FilterDatabase" localSheetId="2" hidden="1">'KSI Requirements'!$A$3:$I$64</definedName>
    <definedName name="_xlnm._FilterDatabase" localSheetId="3" hidden="1">'MAS Assessment'!$A$10:$F$24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1" l="1"/>
  <c r="F28" i="1"/>
  <c r="F27" i="1"/>
  <c r="F26" i="1"/>
  <c r="F25" i="1"/>
  <c r="F24" i="1"/>
  <c r="F23" i="1"/>
  <c r="F22" i="1"/>
  <c r="F21" i="1"/>
  <c r="F20" i="1"/>
  <c r="E29" i="1"/>
  <c r="E28" i="1"/>
  <c r="E27" i="1"/>
  <c r="E26" i="1"/>
  <c r="E25" i="1"/>
  <c r="E24" i="1"/>
  <c r="E23" i="1"/>
  <c r="E22" i="1"/>
  <c r="E21" i="1"/>
  <c r="E20" i="1"/>
  <c r="D29" i="1"/>
  <c r="D28" i="1"/>
  <c r="D27" i="1"/>
  <c r="D26" i="1"/>
  <c r="D25" i="1"/>
  <c r="D24" i="1"/>
  <c r="D23" i="1"/>
  <c r="D22" i="1"/>
  <c r="D21" i="1"/>
  <c r="D20" i="1"/>
  <c r="C29" i="1"/>
  <c r="C28" i="1"/>
  <c r="C27" i="1"/>
  <c r="C26" i="1"/>
  <c r="C25" i="1"/>
  <c r="C24" i="1"/>
  <c r="C23" i="1"/>
  <c r="C22" i="1"/>
  <c r="C21" i="1"/>
  <c r="C20" i="1"/>
  <c r="H29" i="1"/>
  <c r="H28" i="1"/>
  <c r="H27" i="1"/>
  <c r="H26" i="1"/>
  <c r="H25" i="1"/>
  <c r="H24" i="1"/>
  <c r="H23" i="1"/>
  <c r="H22" i="1"/>
  <c r="H21" i="1"/>
  <c r="H20" i="1"/>
  <c r="C33" i="1" l="1"/>
  <c r="C34" i="1"/>
  <c r="C35" i="1"/>
</calcChain>
</file>

<file path=xl/sharedStrings.xml><?xml version="1.0" encoding="utf-8"?>
<sst xmlns="http://schemas.openxmlformats.org/spreadsheetml/2006/main" count="801" uniqueCount="518">
  <si>
    <t>FedRAMP 20x Assessment Overview</t>
  </si>
  <si>
    <t>ASSESSMENT INFORMATION</t>
  </si>
  <si>
    <t>Assessor:</t>
  </si>
  <si>
    <t>Fortreum LLC</t>
  </si>
  <si>
    <t>Assessment Type:</t>
  </si>
  <si>
    <t>Initial Assessment</t>
  </si>
  <si>
    <t>Client:</t>
  </si>
  <si>
    <t>System:</t>
  </si>
  <si>
    <t>Period:</t>
  </si>
  <si>
    <t>2025-05-20 to 2025-06-06</t>
  </si>
  <si>
    <t>Scope:</t>
  </si>
  <si>
    <t>KEY SECURITY INDICATORS</t>
  </si>
  <si>
    <t>FedRAMP Key Security Indicators (KSIs) summarize the capabilities that satisfy FedRAMP security requirements aligned to NIST SP 800-53. Each Key Security Indicator includes critical security capabilities that must be met and validated. These capabilities are designed to provide a concrete approach to evaluating cloud security risks that can often be derived automatically from technical configurations.</t>
  </si>
  <si>
    <t>The following rules ALWAYS apply to ALL FedRAMP 20x authorizations:</t>
  </si>
  <si>
    <t>FRR-KSI-01: Cloud service providers MUST apply ALL Key Security Indicators to ALL aspects of their cloud service offering that are within the FedRAMP Minimum Assessment Scope.</t>
  </si>
  <si>
    <t>The following rules provide general guidance on the application of Key Security Indicators:</t>
  </si>
  <si>
    <t>FRR-KSI-AY-01: All parties SHOULD follow FedRAMP's best practices and technical assistance on assessing Key Security Indicators where applicable.</t>
  </si>
  <si>
    <t>FRR-KSI-AY-02: (INTERIM RULE) All parties SHOULD continuously monitor and review materials in the FedRAMP 20x Phase One (20xP1) pilot requirements and the 20x Community Working Group. Additional details, interim best practices and technical assistance, answers to common questions, and more will be provided asynchronously during 20xP1.</t>
  </si>
  <si>
    <t>KSI COMPLIANCE SUMMARY</t>
  </si>
  <si>
    <t>KSI ID</t>
  </si>
  <si>
    <t>KSI Name</t>
  </si>
  <si>
    <t>Overall Status</t>
  </si>
  <si>
    <t>Automation Status</t>
  </si>
  <si>
    <t>Mitigation Required</t>
  </si>
  <si>
    <t>KSI-CNA</t>
  </si>
  <si>
    <t>Cloud Native Architecture</t>
  </si>
  <si>
    <t>Fully Automated</t>
  </si>
  <si>
    <t>No</t>
  </si>
  <si>
    <t>KSI-SVC</t>
  </si>
  <si>
    <t>Service Configuration</t>
  </si>
  <si>
    <t>KSI-IAM</t>
  </si>
  <si>
    <t>Identity and Access Management</t>
  </si>
  <si>
    <t>KSI-MLA</t>
  </si>
  <si>
    <t>Monitoring, Logging, and Auditing</t>
  </si>
  <si>
    <t>KSI-CMT</t>
  </si>
  <si>
    <t>Change Management</t>
  </si>
  <si>
    <t>KSI-PIY</t>
  </si>
  <si>
    <t>Policy and Inventory</t>
  </si>
  <si>
    <t>Partially Automated</t>
  </si>
  <si>
    <t>KSI-TPR</t>
  </si>
  <si>
    <t>Third-Party Information Resources</t>
  </si>
  <si>
    <t>KSI-CED</t>
  </si>
  <si>
    <t>Cybersecurity Education</t>
  </si>
  <si>
    <t>KSI-RPL</t>
  </si>
  <si>
    <t>Recovery Planning</t>
  </si>
  <si>
    <t>KSI-INR</t>
  </si>
  <si>
    <t>Incident Reporting</t>
  </si>
  <si>
    <t>OVERALL ASSESSMENT RESULTS</t>
  </si>
  <si>
    <t>Total KSIs Assessed:</t>
  </si>
  <si>
    <t>0</t>
  </si>
  <si>
    <t>Overall Compliance:</t>
  </si>
  <si>
    <t>Automation Level:</t>
  </si>
  <si>
    <t>Total Requirements:</t>
  </si>
  <si>
    <t>51</t>
  </si>
  <si>
    <t>Key Security Indicators - Detailed Assessment</t>
  </si>
  <si>
    <t>KSI Domain</t>
  </si>
  <si>
    <t>KSI Description</t>
  </si>
  <si>
    <t>Assessment Objective</t>
  </si>
  <si>
    <t>Test Method</t>
  </si>
  <si>
    <t>Automated Validation Tools</t>
  </si>
  <si>
    <t>Observations/Test Results</t>
  </si>
  <si>
    <t>Evidence</t>
  </si>
  <si>
    <t>Met &amp; Validated</t>
  </si>
  <si>
    <t>Recommendation for Mitigation</t>
  </si>
  <si>
    <t>A secure cloud service offering will use cloud native architecture and design principles to enforce and enhance the Confidentiality, Integrity and Availability of the system.</t>
  </si>
  <si>
    <t>Verify Command Center implements cloud native architecture with proper network segmentation, immutable infrastructure, and high availability</t>
  </si>
  <si>
    <t>N/A - All requirements met</t>
  </si>
  <si>
    <t>A secure cloud service offering will follow FedRAMP encryption policies, continuously verify information resource integrity, and restrict access to third-party information resources.</t>
  </si>
  <si>
    <t>Verify proper encryption implementation, configuration management, and security hardening across Command Center services</t>
  </si>
  <si>
    <t>A secure cloud service offering will protect user data, control access, and apply zero trust principles.</t>
  </si>
  <si>
    <t>Validate implementation of MFA, least privilege access, and zero trust principles in Command Center</t>
  </si>
  <si>
    <t>A secure cloud service offering will monitor, log, and audit all important events, activity, and changes.</t>
  </si>
  <si>
    <t>Verify comprehensive monitoring, centralized logging, and vulnerability management capabilities</t>
  </si>
  <si>
    <t>A secure cloud service provider will ensure that all system changes are properly documented and configuration baselines are updated accordingly.</t>
  </si>
  <si>
    <t>Verify change management processes, configuration control, and security impact assessments</t>
  </si>
  <si>
    <t>A secure cloud service offering will have intentional, organized, universal guidance for how every information resource, including personnel, is secured.</t>
  </si>
  <si>
    <t>Verify comprehensive inventory management, security policies, and organizational commitment</t>
  </si>
  <si>
    <t>A secure cloud service offering will understand, monitor, and manage supply chain risks from third-party information resources.</t>
  </si>
  <si>
    <t>Verify third-party resource identification, FedRAMP compliance verification, and supply chain risk management</t>
  </si>
  <si>
    <t>A secure cloud service provider will continuously educate their employees on cybersecurity measures, testing them regularly to ensure their knowledge is satisfactory.</t>
  </si>
  <si>
    <t>Verify comprehensive security training program for all employees and role-specific training</t>
  </si>
  <si>
    <t>A secure cloud service offering will define, maintain, and test incident response plan(s) and recovery capabilities to ensure minimal service disruption and data loss during incidents and contingencies.</t>
  </si>
  <si>
    <t>Verify recovery objectives are defined, plans are maintained, and recovery capabilities are tested</t>
  </si>
  <si>
    <t>A secure cloud service offering will document, report, and analyze security incidents to ensure regulatory compliance and continuous security improvement.</t>
  </si>
  <si>
    <t>Verify incident reporting procedures, logging capabilities, and lessons learned processes</t>
  </si>
  <si>
    <t>KSI Requirements Validation Details</t>
  </si>
  <si>
    <t>Requirement ID</t>
  </si>
  <si>
    <t>Requirement Text</t>
  </si>
  <si>
    <t>CSP Automated Validation Tools</t>
  </si>
  <si>
    <t>3PAO Observations/Test Results/Findings</t>
  </si>
  <si>
    <t>Validation Status</t>
  </si>
  <si>
    <t>KSI-CNA - Cloud Native Architecture</t>
  </si>
  <si>
    <t>KSI-CNA-01</t>
  </si>
  <si>
    <t>KSI-CNA-02</t>
  </si>
  <si>
    <t>KSI-CNA-03</t>
  </si>
  <si>
    <t>KSI-CNA-04</t>
  </si>
  <si>
    <t>KSI-CNA-05</t>
  </si>
  <si>
    <t>KSI-CNA-06</t>
  </si>
  <si>
    <t>KSI-CNA-07</t>
  </si>
  <si>
    <t>KSI-SVC - Service Configuration</t>
  </si>
  <si>
    <t>KSI-SVC-01</t>
  </si>
  <si>
    <t>KSI-SVC-02</t>
  </si>
  <si>
    <t>KSI-SVC-03</t>
  </si>
  <si>
    <t>KSI-SVC-04</t>
  </si>
  <si>
    <t>KSI-SVC-05</t>
  </si>
  <si>
    <t>KSI-SVC-06</t>
  </si>
  <si>
    <t>KSI-SVC-07</t>
  </si>
  <si>
    <t>KSI-IAM - Identity and Access Management</t>
  </si>
  <si>
    <t>KSI-IAM-01</t>
  </si>
  <si>
    <t>KSI-IAM-02</t>
  </si>
  <si>
    <t>KSI-IAM-03</t>
  </si>
  <si>
    <t>KSI-IAM-04</t>
  </si>
  <si>
    <t>KSI-IAM-05</t>
  </si>
  <si>
    <t>KSI-IAM-06</t>
  </si>
  <si>
    <t>KSI-MLA - Monitoring, Logging, and Auditing</t>
  </si>
  <si>
    <t>KSI-MLA-01</t>
  </si>
  <si>
    <t>KSI-MLA-02</t>
  </si>
  <si>
    <t>KSI-MLA-03</t>
  </si>
  <si>
    <t>KSI-MLA-04</t>
  </si>
  <si>
    <t>KSI-MLA-05</t>
  </si>
  <si>
    <t>KSI-MLA-06</t>
  </si>
  <si>
    <t>KSI-CMT - Change Management</t>
  </si>
  <si>
    <t>KSI-CMT-01</t>
  </si>
  <si>
    <t>KSI-CMT-02</t>
  </si>
  <si>
    <t>KSI-CMT-03</t>
  </si>
  <si>
    <t>KSI-CMT-04</t>
  </si>
  <si>
    <t>KSI-CMT-05</t>
  </si>
  <si>
    <t>KSI-PIY - Policy and Inventory</t>
  </si>
  <si>
    <t>KSI-PIY-01</t>
  </si>
  <si>
    <t>KSI-PIY-02</t>
  </si>
  <si>
    <t>KSI-PIY-03</t>
  </si>
  <si>
    <t>KSI-PIY-04</t>
  </si>
  <si>
    <t>KSI-PIY-05</t>
  </si>
  <si>
    <t>KSI-PIY-06</t>
  </si>
  <si>
    <t>KSI-PIY-07</t>
  </si>
  <si>
    <t>KSI-TPR - Third-Party Information Resources</t>
  </si>
  <si>
    <t>KSI-TPR-01</t>
  </si>
  <si>
    <t>KSI-TPR-02</t>
  </si>
  <si>
    <t>KSI-TPR-03</t>
  </si>
  <si>
    <t>KSI-TPR-04</t>
  </si>
  <si>
    <t>KSI-CED - Cybersecurity Education</t>
  </si>
  <si>
    <t>KSI-CED-01</t>
  </si>
  <si>
    <t>KSI-CED-02</t>
  </si>
  <si>
    <t>KSI-RPL - Recovery Planning</t>
  </si>
  <si>
    <t>KSI-RPL-01</t>
  </si>
  <si>
    <t>KSI-RPL-02</t>
  </si>
  <si>
    <t>KSI-RPL-03</t>
  </si>
  <si>
    <t>KSI-RPL-04</t>
  </si>
  <si>
    <t>KSI-INR - Incident Reporting</t>
  </si>
  <si>
    <t>KSI-INR-01</t>
  </si>
  <si>
    <t>KSI-INR-02</t>
  </si>
  <si>
    <t>KSI-INR-03</t>
  </si>
  <si>
    <t>Minimum Assessment Scope Validation</t>
  </si>
  <si>
    <t>Scope Definition</t>
  </si>
  <si>
    <t>Assessment Objective:</t>
  </si>
  <si>
    <t>Verify that the FedRAMP Minimum Assessment Scope is properly defined and includes all required information resources</t>
  </si>
  <si>
    <t>Test Method:</t>
  </si>
  <si>
    <t>Validation Status:</t>
  </si>
  <si>
    <t>Met and Validated</t>
  </si>
  <si>
    <t>Observations:</t>
  </si>
  <si>
    <t>Recommendations:</t>
  </si>
  <si>
    <t>N/A - Scope properly defined</t>
  </si>
  <si>
    <t>Category</t>
  </si>
  <si>
    <t>Rule ID</t>
  </si>
  <si>
    <t>Rule Text</t>
  </si>
  <si>
    <t>Evidence References</t>
  </si>
  <si>
    <t>Core Rules</t>
  </si>
  <si>
    <t>FRR-MAS-01</t>
  </si>
  <si>
    <t>Providers MUST establish a FedRAMP Minimum Assessment Scope that includes all information resources that are likely to handle federal information or likely to impact the confidentiality, integrity, or availability of federal information.</t>
  </si>
  <si>
    <t>FRR-MAS-02</t>
  </si>
  <si>
    <t>Providers MUST include the configuration and usage of third-party information resources, ONLY IF FRR-MAS-01 applies.</t>
  </si>
  <si>
    <t>FRR-MAS-03</t>
  </si>
  <si>
    <t>Providers MUST clearly identify and document the justification, mitigation measures, compensating controls, and potential impact to federal information from the configuration and usage of non-FedRAMP authorized third-party information resources, ONLY IF FRR-MAS-01 applies.</t>
  </si>
  <si>
    <t>FRR-MAS-04</t>
  </si>
  <si>
    <t>Providers MUST include metadata (including metadata about federal information), ONLY IF FRR-MAS-01 applies.</t>
  </si>
  <si>
    <t>FRR-MAS-05</t>
  </si>
  <si>
    <t>Providers MUST clearly identify, document, and explain information flows and impact levels for ALL information resources.</t>
  </si>
  <si>
    <t>Application Guidance</t>
  </si>
  <si>
    <t>FRR-MAS-AY-01</t>
  </si>
  <si>
    <t>Certain categories of cloud computing products and services are specified as entirely outside the scope of FedRAMP by the Director of the Office of Management and Budget.</t>
  </si>
  <si>
    <t>System Documentation</t>
  </si>
  <si>
    <t>FRR-MAS-AY-02</t>
  </si>
  <si>
    <t>Software produced by cloud service providers that is delivered separately for installation on agency systems and not operated in a shared responsibility model is outside the Minimum Assessment Scope.</t>
  </si>
  <si>
    <t>Architecture Documentation</t>
  </si>
  <si>
    <t>FRR-MAS-AY-03</t>
  </si>
  <si>
    <t>Information resources (including third-party information resources) that do not meet the conditions in FRR-MAS-01 are outside the Minimum Assessment Scope.</t>
  </si>
  <si>
    <t>Scope Documentation</t>
  </si>
  <si>
    <t>FRR-MAS-AY-04</t>
  </si>
  <si>
    <t>Information resources (including third-party information resources) MAY vary by impact level as appropriate to the level of information handled or impacted by the information resource.</t>
  </si>
  <si>
    <t>System Categorization</t>
  </si>
  <si>
    <t>FRR-MAS-AY-05</t>
  </si>
  <si>
    <t>All parties SHOULD review best practices and technical assistance provided separately by FedRAMP for help with applying the Minimum Assessment Scope as needed.</t>
  </si>
  <si>
    <t>Implementation Documentation</t>
  </si>
  <si>
    <t>Exceptions</t>
  </si>
  <si>
    <t>FRR-MAS-EX-01</t>
  </si>
  <si>
    <t>Providers MAY include documentation of information resources beyond the Minimum Assessment Scope, or even entirely outside the scope of FedRAMP, in a FedRAMP assessment and authorization package supplement.</t>
  </si>
  <si>
    <t>Not Applicable</t>
  </si>
  <si>
    <t>N/A</t>
  </si>
  <si>
    <t>Evidence Tracking Log</t>
  </si>
  <si>
    <t>Source</t>
  </si>
  <si>
    <t>Related ID</t>
  </si>
  <si>
    <t>Evidence Reference</t>
  </si>
  <si>
    <t>Evidence Type</t>
  </si>
  <si>
    <t>Description</t>
  </si>
  <si>
    <t>KSI</t>
  </si>
  <si>
    <t>Assessment Findings &amp; Recommendations</t>
  </si>
  <si>
    <t>Type</t>
  </si>
  <si>
    <t>ID</t>
  </si>
  <si>
    <t>Name</t>
  </si>
  <si>
    <t>Status</t>
  </si>
  <si>
    <t>Recommendation</t>
  </si>
  <si>
    <t>Determination:
Automation Results:
PASS Excellent attack surface minimization and lateral movement prevention (85%): PASS Strong attack surface minimization: 6/8 private subnets (75%)
PASS Good AZ segmentation: 8 subnets across 2 availability zones
PASS Strong micro-segmentation: 13/14 custom security groups
PASS Lateral movement barriers: 7/14 security groups with specific rules
PASS Minimal compute exposure: 4/4 instances in private subnets
PASS Database isolation: All 1 RDS instances private
PASS Controlled service exposure: Single internet-facing load balancer with private backend services
PASS Lambda isolation: 1/3 functions in VPC
PASS Advanced segmentation barriers: 1/1 Network ACLs with custom isolation rules
Manual Testing:  None</t>
  </si>
  <si>
    <t>Determination:
Automation Results:
PASS Comprehensive logical networking for traffic flow control (106%): PASS Logical routing infrastructure: 5/5 route tables with intentional traffic flows
PASS Advanced routing patterns: 4 route tables with custom traffic control
PASS Advanced network access control: 1/1 NACLs with custom traffic flow policies
PASS Advanced service routing: 7 VPC endpoints (1 gateway, 4 interface, 2 GWLB)
PASS Single-VPC architecture: No Transit Gateways needed (appropriate design)
PASS Application-layer traffic control: 1 Application Load Balancers
PASS Controlled egress routing: 1 active NAT Gateways
PASS Traffic flow monitoring: 1 VPC Flow Log groups
Manual Testing:  None</t>
  </si>
  <si>
    <t>Determination:
Automation Results:
PASS Comprehensive Terraform-managed immutable infrastructure (62%): PASS Infrastructure as Code deployment: 4/4 instances with standardized deployment patterns
PASS Immutable deployment patterns: 4/4 instances recently deployed (&lt; 6 months)
PASS Consistent naming patterns: 4/4 instances follow standardized naming
PASS Serverless functions: 3 Lambda functions (inherently immutable)
INFO No launch templates found
INFO No Auto Scaling Groups found
Manual Testing:  None</t>
  </si>
  <si>
    <t>Determination:
Automation Results:
PASS Comprehensive DoS protection established (94%): PASS Network-layer protection: AWS Shield Standard (automatic DDoS protection)
PASS Application-layer protection: 1 Regional WAF Web ACL(s) - meridian-waf-acl
PASS Service resilience: 1 multi-AZ load balancer(s) providing traffic distribution
PASS Internal DNS resilience: 1 private Route 53 hosted zone(s)
Manual Testing:  None</t>
  </si>
  <si>
    <t xml:space="preserve">Determination:
Automation Results:
PASS Excellent high availability design for pilot environment (100%): PASS Strong network HA: 8 subnets across 2 AZs
PASS Balanced subnet distribution across availability zones
PASS Application HA: 1 multi-AZ load balancer(s) providing traffic distribution
PASS Active backup strategy: 1 AWS Backup plan(s) with recent execution
PASS Storage redundancy: 2 S3 bucket(s) with built-in 11-9s durability
PASS Database HA-ready: 1 RDS instance(s) with multi-AZ subnet groups (easily convertible)
INFO Compute HA via Infrastructure as Code (Terraform-managed instances acceptable for pilot)
PASS Storage recovery via centralized AWS Backup (may include EBS snapshots)
PASS DNS infrastructure: 1 Route 53 hosted zone(s)
Manual Testing:  None
</t>
  </si>
  <si>
    <t xml:space="preserve">Determination:
Automation Results:
PASS Excellent AWS best practices implementation (95%): PASS CloudTrail excellently configured: 'meridianks-Management-events' ready for activation (cost-optimized for pilot)
PASS Multi-region audit coverage: CloudTrail spans all AWS regions
PASS Log integrity protection: CloudTrail log file validation enabled
PASS Encrypted audit logs: CloudTrail using KMS encryption
PASS Global service monitoring: CloudTrail capturing global AWS events
PASS Real-time log analysis: CloudTrail integrated with CloudWatch Logs
PASS Enterprise governance: Organization-wide CloudTrail
PASS Encryption key management: 11 KMS keys for data protection
PASS IAM best practices: 55 roles vs 2 users (service-oriented architecture)
PASS Excellent reliability architecture: 1/1 load balancers multi-AZ
PASS Infrastructure as Code scaling: 4/4 Terraform-managed instances (superior to ASGs for pilot)
PASS Active data protection: 1 backup plan(s) with recent execution
PASS Performance optimization: 4/4 instances using modern types
PASS Storage optimization: 2 S3 buckets (cost-effective storage)
PASS Monitoring foundation ready: CloudWatch available (alarms optional for pilot environments)
PASS Compliance service available: AWS Config ready for rule deployment (optional for pilot)
PASS Enterprise governance: AWS Organizations with centralized management
Manual Testing:  None
</t>
  </si>
  <si>
    <t>aws cloudformation list-stacks --stack-status-filter CREATE_COMPLETE UPDATE_COMPLETE UPDATE_ROLLBACK_COMPLETE --output json Check CloudFormation stacks for immutable infrastructure deployment foundation
aws ec2 describe-launch-templates --max-items 50 --output json Validate launch templates for immutable instance deployments with versioning
aws ecr describe-repositories --max-items 50 --output json Assess ECR repositories for immutable container image deployments
aws lambda list-functions --max-items 50 --output json Check Lambda functions for immutable serverless deployment patterns
aws autoscaling describe-auto-scaling-groups --max-items 50 --output json Evaluate Auto Scaling Groups for immutable scaling patterns using launch templates
aws ecs list-services --max-items 50 --output json 2&gt;/dev/null || echo '{"serviceArns": []}' Check ECS services for immutable container orchestration (graceful fallback)
aws deploy list-applications --output json Assess CodeDeploy applications for automated immutable deployment patterns
aws elbv2 describe-target-groups --max-items 50 --output json Check load balancer target groups for blue/green immutable deployment infrastructure
aws configservice describe-config-rules --output json Evaluate Config rules for immutable deployment compliance and governance
aws organizations describe-organization --output json 2&gt;/dev/null || echo '{"Organization": null}' Check for enterprise-wide immutable deployment governance through AWS Organizations</t>
  </si>
  <si>
    <t>aws ec2 describe-subnets --output json Analyze subnet segmentation for attack surface isolation (public vs private)
aws ec2 describe-security-groups --output json Evaluate micro-segmentation and lateral movement prevention through security group rules
aws ec2 describe-instances --output json Assess compute workload exposure and placement for attack surface minimization
aws ec2 describe-network-acls --output json Check Network ACLs for subnet-level isolation and lateral movement barriers
aws elbv2 describe-load-balancers --output json Analyze load balancer exposure patterns (internal vs internet-facing)
aws lambda list-functions --output json Assess Lambda function isolation and VPC configuration for attack surface reduction
aws rds describe-db-instances --output json Check database placement and exposure (should be in private subnets)</t>
  </si>
  <si>
    <t>aws ec2 describe-instances --query 'Reservations[*].Instances[*].[InstanceId,Tags,LaunchTime,ImageId]' --output json Analyze instance patterns for Terraform-managed immutable deployments (consistent tagging, recent launches)
aws ec2 describe-launch-templates --output json Check launch templates for standardized, versioned instance deployment patterns
aws autoscaling describe-auto-scaling-groups --output json Validate Auto Scaling Groups for instance replacement patterns (immutable scaling)
aws ec2 describe-images --owners self --output json Check custom AMIs for versioned machine image pipeline (immutable base images)
aws lambda list-functions --output json Validate serverless functions (immutable compute even in VM-focused architectures)
aws s3api list-buckets --query 'Buckets[?contains(Name, terraform) || contains(Name, tfstate)]' --output json Detect Terraform state management patterns (S3 backend indicates mature IaC)
aws dynamodb list-tables --output json Check for Terraform state locking tables (DynamoDB indicates advanced IaC patterns)
aws codebuild list-projects --output json Check for CI/CD build projects (AMI pipelines, Terraform automation)
aws ssm describe-parameters --output json Validate Systems Manager parameters for configuration management and versioning</t>
  </si>
  <si>
    <t>aws ec2 describe-subnets --output json Analyze subnet distribution across availability zones for network-level HA
aws ec2 describe-availability-zones --output json Check available AZs in region for HA planning and validation
aws rds describe-db-instances --output json Validate RDS Multi-AZ deployments and database high availability
aws elbv2 describe-load-balancers --output json Check load balancers for application-layer HA and traffic distribution
aws autoscaling describe-auto-scaling-groups --output json Validate Auto Scaling Groups for compute resilience and multi-AZ distribution
aws backup list-backup-plans --output json Check backup plans for data protection and recovery capabilities
aws ec2 describe-snapshots --owner-ids self --output json Validate EBS snapshot strategy for storage recovery
aws s3api list-buckets --output json Check S3 buckets for storage redundancy and cross-region replication
aws route53 list-hosted-zones --output json Validate DNS redundancy and health check capabilities</t>
  </si>
  <si>
    <t>aws configservice describe-config-rules --output json Check AWS Config rules for compliance monitoring and best practice enforcement
aws cloudtrail describe-trails --output json Validate CloudTrail configuration (security and operational excellence best practice)
aws cloudtrail get-trail-status --name $(aws cloudtrail describe-trails --query 'trailList[0].Name' --output text) --output json 2&gt;/dev/null || echo '{"IsLogging":false}' Check CloudTrail logging status (critical for accurate security assessment)
aws kms list-keys --output json Check KMS key management (security best practice for encryption)
aws iam get-account-summary --output json Analyze IAM configuration patterns (security best practices)
aws ec2 describe-instances --output json Evaluate instance configuration for best practices (performance, reliability)
aws elbv2 describe-load-balancers --output json Check load balancer implementation (reliability best practices)
aws autoscaling describe-auto-scaling-groups --output json Validate Auto Scaling implementation (reliability and cost optimization)
aws s3api list-buckets --output json Check S3 usage patterns (cost optimization and security best practices)
aws cloudwatch describe-alarms --output json Validate monitoring implementation (operational excellence best practices)
aws backup list-backup-plans --output json Check backup strategies (reliability best practices)
aws organizations describe-organization --output json 2&gt;/dev/null || echo '{"Organization":null}' Check AWS Organizations setup (governance and operational excellence best practices)</t>
  </si>
  <si>
    <t>aws ec2 describe-security-groups --output json Check security group configurations for network hardening and access control validation
aws ec2 describe-instances --output json Review instance configurations and security settings for system hardening assessment
aws ec2 describe-network-acls --output json Analyze Network ACLs for subnet-level traffic filtering and defense-in-depth validation
aws config describe-config-rules --output json Check AWS Config rules for automated configuration compliance and hardening validation
aws guardduty list-detectors --output json Validate GuardDuty threat detection service enablement for network and system security monitoring
aws wafv2 list-web-acls --scope REGIONAL --output json Check Web Application Firewall configuration for application-layer hardening and protection
aws ssm describe-patch-baselines --output json Analyze patch management baselines for systematic security updates and vulnerability remediation
aws ssm describe-instance-information --output json Check Systems Manager coverage for centralized system configuration management and compliance
aws inspector2 get-configuration --output json Validate Amazon Inspector for automated security assessments and vulnerability scanning
aws organizations describe-organization --output json Check enterprise-wide security policies and organizational hardening standards across accounts</t>
  </si>
  <si>
    <t>aws ssm describe-parameters --output json Check Systems Manager Parameter Store for centralized configuration management and application settings
aws config describe-configuration-recorders --output json Validate AWS Config for configuration compliance monitoring and change tracking
aws ssm list-documents --document-filter-list key=DocumentType,value=Command --output json Check Systems Manager documents for configuration management workflows and deployment automation
aws cloudformation list-stacks --stack-status-filter CREATE_COMPLETE UPDATE_COMPLETE --output json Validate CloudFormation for Infrastructure as Code configuration management and template-based deployment
aws secretsmanager list-secrets --output json Check Secrets Manager for centralized secrets and sensitive configuration management
aws ssm describe-patch-baselines --output json Analyze patch baselines for centralized system configuration management and compliance standards
aws config describe-config-rules --output json Check Config rules for automated configuration compliance validation and policy enforcement
aws ssm describe-instance-information --output json Validate Systems Manager agent coverage for centralized instance configuration management
aws servicecatalog search-products --output json Check Service Catalog for standardized configuration templates and governed deployment patterns
aws organizations describe-organization --output json Validate enterprise-wide configuration policies and organizational governance standards across accounts</t>
  </si>
  <si>
    <t>aws cloudtrail describe-trails --output json Check CloudTrail log file validation for audit trail integrity and tamper-evident logging
aws kms list-keys --output json Validate KMS keys available for cryptographic integrity protection and key-based verification
aws kms list-aliases --output json Check KMS key aliases and management for cryptographic key governance and integrity protection
aws s3api list-buckets --output json Analyze S3 bucket configurations for object integrity verification and versioning protection
aws rds describe-db-instances --output json Check RDS database instances for backup encryption and transaction log integrity protection
aws config describe-configuration-recorders --output json Validate AWS Config for configuration change integrity tracking and compliance monitoring
aws cloudwatch describe-alarms --output json Check CloudWatch alarms for integrity violation detection and automated response triggers
aws sns list-topics --output json Validate SNS topics for integrity event notification and stakeholder alerting workflows
aws backup list-backup-vaults --output json Check AWS Backup vaults for backup integrity verification and cryptographic protection
aws organizations describe-organization --output json Validate enterprise-wide integrity policies and organizational cryptographic governance standards across accounts</t>
  </si>
  <si>
    <t>aws kms list-keys --output json Check KMS keys for automated key management and cryptographic service availability
aws acm list-certificates --output json Validate ACM certificates for automated certificate lifecycle management and SSL/TLS provisioning
aws kms list-aliases --output json Analyze KMS key aliases for key management governance and organizational naming standards
aws ssm describe-parameters --parameter-filters Key=Type,Values=SecureString --output json Check Systems Manager SecureString parameters for KMS-encrypted configuration management
aws secretsmanager list-secrets --output json Validate Secrets Manager for automated secrets rotation and centralized credential management
aws iam list-server-certificates --output json Check IAM server certificates for legacy certificate management and migration tracking
aws cloudformation list-stacks --stack-status-filter CREATE_COMPLETE UPDATE_COMPLETE --output json Analyze CloudFormation stacks for Infrastructure as Code key management and automated provisioning
aws config describe-config-rules --output json Check Config rules for key management compliance monitoring and policy enforcement
aws cloudtrail lookup-events --lookup-attributes AttributeKey=EventName,AttributeValue=CreateKey --start-time 2025-05-01 --output json Validate key management audit trail for creation, rotation, and access tracking
aws organizations describe-organization --output json Check enterprise-wide key management policies and organizational governance standards across accounts</t>
  </si>
  <si>
    <t>aws ssm describe-patch-baselines --output json Check patch baselines for consistent patching approach and vulnerability management standards
aws ssm describe-instance-information --output json Validate SSM agent coverage for automated patching and centralized system management
aws ssm describe-patch-groups --output json Analyze patch groups for risk-informed patching segmentation and deployment scheduling
aws ssm list-documents --document-filter-list key=DocumentType,value=Command --output json Check SSM documents for patch automation workflows and risk-informed deployment procedures
aws ssm describe-maintenance-windows --output json Validate maintenance windows for controlled patch deployment and risk mitigation scheduling
aws inspector2 get-configuration --output json Check Inspector for vulnerability-driven patch prioritization and risk assessment automation
aws ecr describe-repositories --output json Analyze container registries for container image patching and vulnerability scanning integration
aws lambda list-layers --output json Check Lambda layers for serverless runtime patching and dependency management
aws config describe-config-rules --output json Validate Config rules for patch compliance monitoring and governance automation
aws organizations describe-organization --output json Check enterprise-wide patch management policies and organizational risk-informed patching standards across accounts</t>
  </si>
  <si>
    <t>aws iam list-users --output json Get traditional IAM users for MFA analysis
aws iam list-mfa-devices --output json Check traditional IAM MFA devices
aws sso-admin list-instances --output json Get Identity Center instances
aws identitystore list-users --identity-store-id d-9067ccc0ff --output json Get Identity Center users for accurate user count</t>
  </si>
  <si>
    <t>aws iam list-saml-providers --output json Check for federated authentication (passwordless method)
aws iam list-virtual-mfa-devices --output json Validate MFA device configuration and enforcement
aws iam get-account-password-policy --output json Check strong password policy enforcement when passwords are used
aws iam list-users --output json Analyze user authentication patterns and requirements
aws sts get-caller-identity --output json Validate current authentication method (temporary vs permanent credentials)</t>
  </si>
  <si>
    <t>aws sso-admin list-instances --output json Check for AWS IAM Identity Center (modern permission set approach)
INSTANCE_ARN=$(aws sso-admin list-instances --query 'Instances[0].InstanceArn' --output text 2&gt;/dev/null) &amp;&amp; aws sso-admin list-permission-sets --instance-arn "$INSTANCE_ARN" --output json 2&gt;/dev/null || echo '{"PermissionSets":[]}' ROBUST: Get instance ARN first, then list permission sets with proper error handling
aws iam list-roles --output json Analyze traditional IAM roles for service accounts and legacy access patterns
aws iam list-users --output json Check if users have direct policy attachments (anti-pattern for least privilege)
aws sts get-caller-identity --output json Validate current session type (permission set session vs traditional credentials)
aws iam get-account-summary --output json Get account-wide IAM usage patterns for authorization model assessment</t>
  </si>
  <si>
    <t>aws sso-admin list-instances --output json Check IAM Identity Center for modern zero trust user access patterns
aws identitystore list-users --identity-store-id $(aws sso-admin list-instances --query 'Instances[0].IdentityStoreId' --output text) --output json 2&gt;/dev/null || echo '{"Users":[]}' List Identity Center users to detect federated MFA enforcement patterns (external IdP integration via SCIM/Okta)
aws cloudtrail describe-trails --output json Validate continuous monitoring and verification logging (must be active)
aws cloudtrail get-trail-status --name arn:aws:cloudtrail:us-east-1:155765116562:trail/meridianks-Management-events --output json Verify CloudTrail is actively logging (zero trust requires continuous monitoring)
aws ec2 describe-security-groups --output json Analyze network micro-segmentation and least privilege network access
aws ec2 describe-vpc-endpoints --output json Validate secure private communications (VPC endpoints for AWS services)
aws iam list-virtual-mfa-devices --output json Check traditional IAM MFA devices (fallback for non-federated scenarios)
aws sts get-caller-identity --output json Validate current session type (temporary credentials indicate zero trust access)</t>
  </si>
  <si>
    <t>aws events list-rules --output json Check EventBridge rules for automated security response triggers (critical for automation)
aws guardduty list-detectors --output json Validate GuardDuty threat detection service for suspicious activity identification
aws securityhub describe-hub --output json Check Security Hub for centralized security findings and automated response coordination
aws sso-admin list-instances --output json Validate Identity Center for built-in automated session and access controls
aws configservice describe-config-rules --output json Check Config rules in management account for automated compliance remediation
aws lambda list-functions --output json Identify automated response functions for account disabling and security actions
aws cloudwatch describe-alarms --output json Check CloudWatch alarms for suspicious privileged account activity monitoring</t>
  </si>
  <si>
    <t>aws cloudtrail describe-trails --output json Check CloudTrail for centralized, tamper-resistant logging foundation
aws logs describe-log-groups --output json Validate centralized log collection and retention policies in CloudWatch
aws cloudwatch describe-alarms --output json Check automated log analysis and real-time alerting capabilities
aws kms list-keys --output json Validate cryptographic protection and encryption for sensitive logs
aws config describe-delivery-channels --output json Check compliance-grade log delivery and audit trail mechanisms
aws s3api list-buckets --output json Validate log archival, long-term storage, and forensic capabilities
aws securityhub get-findings --max-results 20 --output json Check advanced threat detection and security event correlation
aws organizations describe-organization --output json Validate enterprise-wide centralized logging and cross-account capabilities</t>
  </si>
  <si>
    <t>aws cloudwatch describe-alarms --output json Check CloudWatch alarms for automated log review and real-time monitoring
aws logs describe-metric-filters --output json Validate metric filters for log pattern analysis and security event detection
aws sns list-topics --output json Check SNS topics for log review notifications and alert delivery mechanisms
aws logs describe-log-groups --output json Analyze log retention policies, encryption, and compliance-grade log management
aws cloudtrail lookup-events --max-items 10 --output json Check recent audit events for manual and automated review process validation
aws securityhub get-insights --output json Validate advanced log correlation, security analytics, and threat intelligence
aws config describe-config-rules --output json Check automated compliance rules for log governance and audit trail validation
aws lambda list-functions --output json Validate custom log processing, automated review functions, and intelligent analysis
aws organizations describe-organization --output json Check enterprise-wide centralized log review and cross-account analysis capabilities</t>
  </si>
  <si>
    <t>aws securityhub get-enabled-standards --region us-east-1 --output json Check Security Hub standards for foundational vulnerability detection and compliance monitoring
aws inspector2 get-configuration --output json Validate Inspector automated scanning for EC2, container, and application vulnerabilities
aws securityhub get-findings --filters '{"RecordState":[{"Value":"ACTIVE","Comparison":"EQUALS"}]}' --max-results 50 --output json Analyze active security findings for rapid vulnerability detection and response assessment
aws ssm describe-patch-baselines --output json Check automated patch management for rapid vulnerability remediation
aws lambda list-functions --output json Validate automated response functions for vulnerability remediation and incident handling
aws cloudwatch describe-alarms --output json Check real-time alerting for rapid vulnerability detection and notification
aws config describe-config-rules --output json Validate continuous compliance monitoring for configuration vulnerability detection
aws organizations describe-organization --output json Check enterprise-wide vulnerability management and cross-account detection capabilities</t>
  </si>
  <si>
    <t>aws inspector2 list-coverage --output json Check Inspector coverage for authenticated vulnerability scanning of EC2 and container resources
aws inspector2 get-configuration --output json Validate Inspector service enablement and scanning configuration status
aws ec2 describe-instances --output json Analyze EC2 instances available for authenticated vulnerability scanning assessment
aws ecr describe-repositories --output json Check container registries for authenticated container image vulnerability scanning
aws lambda list-functions --output json Validate serverless functions for code vulnerability analysis and dependency scanning
aws ssm describe-instance-information --output json Check Systems Manager agent coverage for authenticated system-level scanning
aws securityhub get-findings --filters '{"ProductName":[{"Value":"Inspector","Comparison":"EQUALS"}]}' --max-results 20 --output json Analyze authenticated scanning results and vulnerability findings integration
aws organizations describe-organization --output json Check enterprise-wide authenticated vulnerability scanning and cross-account coverage</t>
  </si>
  <si>
    <t>aws config describe-config-rules --output json Check Config rules for Infrastructure as Code evaluation and configuration compliance monitoring
aws cloudformation list-stacks --stack-status-filter CREATE_COMPLETE UPDATE_COMPLETE --output json Validate CloudFormation stacks for Infrastructure as Code configuration testing and deployment
aws cloudformation describe-stacks --output json Analyze detailed stack configuration for drift detection and infrastructure validation
aws ssm describe-parameters --max-results 50 --output json Check Systems Manager Parameter Store for centralized configuration management
aws codebuild list-projects --output json Validate automated Infrastructure as Code testing through build projects and validation pipelines
aws codepipeline list-pipelines --output json Check for automated Infrastructure as Code deployment pipelines and change validation
aws cloudtrail lookup-events --lookup-attributes AttributeKey=EventName,AttributeValue=CreateStack --start-time 2025-05-01 --output json Analyze deployment audit trail for Infrastructure as Code change tracking and compliance
aws resourcegroupstaggingapi get-resources --resource-type-filters cloudformation --output json Check resource inventory and tag-based governance for Infrastructure as Code assets
aws organizations describe-organization --output json Validate enterprise-level multi-account governance for Infrastructure as Code standardization
aws servicecatalog search-products --output json Check standardized Infrastructure as Code templates and governance through Service Catalog</t>
  </si>
  <si>
    <t>aws securityhub get-findings --max-results 100 --output json Get Security Hub findings for centralized vulnerability tracking and severity analysis
aws inspector2 list-findings --max-results 100 --output json Check Inspector findings for vulnerability prioritization and automated assessment results
aws securityhub get-insights --max-results 50 --output json Analyze Security Hub insights for vulnerability trend analysis and prioritization patterns
aws ssm describe-patch-groups --output json Check Systems Manager patch groups for vulnerability remediation tracking and automation
aws ssm describe-patch-baselines --output json Validate patch baseline configurations for systematic vulnerability remediation workflows
aws config get-compliance-summary-by-config-rule --output json Check Config rule compliance for configuration vulnerability tracking and remediation status
aws cloudwatch describe-alarms --alarm-name-prefix SecurityHub --output json Validate CloudWatch alarms for automated vulnerability notification and escalation workflows
aws sns list-topics --output json Check SNS topics for vulnerability notification and stakeholder communication automation
aws events list-rules --name-prefix SecurityHub --output json Analyze EventBridge rules for automated vulnerability response and remediation orchestration
aws organizations describe-organization --output json Check enterprise-wide vulnerability tracking policies and organizational remediation governance across accounts</t>
  </si>
  <si>
    <t>aws cloudtrail describe-trails --output json Check CloudTrail for system modification logging and baseline change tracking
aws configservice describe-configuration-recorders --output json Validate Config for configuration baseline recording and change monitoring
aws configservice describe-config-rules --output json Assess Config rules for baseline compliance monitoring and automated enforcement
aws cloudformation list-stacks --stack-status-filter CREATE_COMPLETE UPDATE_COMPLETE UPDATE_ROLLBACK_COMPLETE --output json Check CloudFormation stacks for Infrastructure as Code baseline templates
aws ssm describe-parameters --max-items 50 --output json Evaluate SSM Parameter Store for configuration baseline management
aws cloudwatch describe-alarms --max-records 50 --output json Check CloudWatch alarms for baseline violation monitoring and alerting
aws sns list-topics --output json Assess SNS topics for baseline notification infrastructure
aws configservice describe-remediation-configurations --config-rule-names $(aws configservice describe-config-rules --query 'ConfigRules[0:5].ConfigRuleName' --output text 2&gt;/dev/null || echo 'none') --output json 2&gt;/dev/null || echo '{"RemediationConfigurations": []}' Check Config remediation for automated baseline enforcement (graceful fallback)
aws s3api list-buckets --output json Identify S3 buckets for baseline storage and configuration management
aws organizations describe-organization --output json 2&gt;/dev/null || echo '{"Organization": null}' Check for enterprise-wide baseline governance through AWS Organizations</t>
  </si>
  <si>
    <t xml:space="preserve">Check evidence_v2/KSI-CMT-03/ for comprehensive Infrastructure as Code testing evidence files
</t>
  </si>
  <si>
    <t>Check evidence_v2/KSI-CMT-04/ for comprehensive change management documentation</t>
  </si>
  <si>
    <t>Check evidence_v2/KSI-CMT-05/ for comprehensive risk and impact evaluation documentation</t>
  </si>
  <si>
    <t>aws resourcegroupstaggingapi get-resources --output json Get comprehensive resource inventory across all AWS services
Check evidence_v2/KSI-PIY-01/ for asset_inventory.xlsx and software_inventory.pdf</t>
  </si>
  <si>
    <t>Check evidence_v2/KSI-PIY-02/ for security_policy, information_security_objectives, and resource_security_standards</t>
  </si>
  <si>
    <t>Check evidence_v2/KSI-PIY-03/ for vulnerability_disclosure_policy and responsible_disclosure_program</t>
  </si>
  <si>
    <t>aws codecommit list-repositories --output json Check code repositories for secure development practices
Manual Review: Check evidence_v2/KSI-PIY-04/ for secure_sdlc_procedures.pdf and cisa_secure_by_design_alignment.pdf</t>
  </si>
  <si>
    <t>Check evidence_v2/KSI-PIY-05/ for evaluation_methodology, security_assessment_procedures, and implementation_review_process</t>
  </si>
  <si>
    <t>Check evidence_v2/KSI-PIY-06/ for security_org_chart, security_budget_allocation, and executive_security_charter</t>
  </si>
  <si>
    <t>Check evidence_v2/KSI-PIY-07/ for supply_chain_risk_management, vendor_security_assessments, and software_supply_chain_policy</t>
  </si>
  <si>
    <t>aws iam list-roles --query 'Roles[?contains(AssumeRolePolicyDocument, sts:AssumeRole)]' --output json Check for cross-account roles indicating third-party integrations
Check evidence_v2/KSI-TPR-01/ for third_party_inventory.xlsx, saas_services_list.pdf, and vendor_registry.pdf</t>
  </si>
  <si>
    <t>Primary validation through documentation: federal_data_service_inventory.xlsx, fedramp_authorization_verification.xlsx, service_security_configurations, regular_verification_process</t>
  </si>
  <si>
    <t>Check evidence_v2/KSI-TPR-03/ for supply_chain_risk_assessment, risk_mitigation_plan, and vendor_risk_matrix.xlsx</t>
  </si>
  <si>
    <t>aws inspector2 list-findings --max-results 20 --output json Check Inspector findings for third-party component vulnerabilities
Check evidence_v2/KSI-TPR-04/ for vulnerability_monitoring_contracts.pdf, upstream_vulnerability_procedures.pdf, and third_party_notification_agreements.pdf</t>
  </si>
  <si>
    <t>Check evidence_v2/KSI-CED-01/ for security_awareness_training_program, employee_training_records.xlsx, training_completion_certificates, and annual_training_schedule</t>
  </si>
  <si>
    <t>Check evidence_v2/KSI-CED-02/ for privileged_access_training, role_specific_training_matrix.xlsx, admin_security_training_records, and specialized_cybersecurity_curriculum</t>
  </si>
  <si>
    <t>aws rds describe-db-instances --query 'DBInstances[*].[DBInstanceIdentifier,BackupRetentionPeriod,LatestRestorableTime,PreferredBackupWindow]' --output json Validate RDS backup retention (BackupRetentionPeriod &gt; 0) and point-in-time recovery capability for RPO validation
aws backup list-backup-plans --output json Check backup plan frequency and retention alignment with documented RTO/RPO objectives
Check evidence_v2/KSI-RPL-01/ for rto_rpo_definitions.pdf with actual infrastructure-validated objectives, business_impact_analysis.pdf, and recovery_objectives_matrix.xlsx</t>
  </si>
  <si>
    <t>aws rds describe-db-instances --query 'DBInstances[*].[DBInstanceIdentifier,DeletionProtection,BackupRetentionPeriod,PreferredMaintenanceWindow]' --output json Verify RDS recovery configuration aligns with documented recovery procedures
aws backup describe-backup-plans --output json Validate backup plan configuration supports documented recovery procedures
Check evidence_v2/KSI-RPL-02/ for disaster_recovery_plan.pdf (updated with technical validation), incident_response_plan.pdf, recovery_procedures_playbook.pdf, and business_continuity_plan.pdf</t>
  </si>
  <si>
    <t>aws backup list-backup-plans --output json Check AWS Backup plans for systematic backup implementation
aws backup get-backup-plan --backup-plan-id $(aws backup list-backup-plans --query 'BackupPlansList[0].BackupPlanId' --output text) --output json Get detailed backup plan configuration including retention policies
aws backup list-backup-jobs --by-state COMPLETED --max-results 20 --output json Validate recent successful backup operations and timing to prove backups are functioning
aws rds describe-db-instances --query 'DBInstances[*].[DBInstanceIdentifier,BackupRetentionPeriod,DeletionProtection]' --output json Confirm RDS automated backup configuration and data protection settings
aws ec2 describe-snapshots --owner-ids self --output json Validate EBS snapshots for system backup coverage</t>
  </si>
  <si>
    <t>aws backup list-restore-jobs --max-results 20 --output json Document historical restore operations proving actual recovery testing has been performed
aws backup list-backup-jobs --by-state COMPLETED --by-created-after 2024-05-01 --output json Show recent backup completions with timing data to validate recovery time objectives
aws rds describe-db-instances --query 'DBInstances[*].[DBInstanceIdentifier,LatestRestorableTime,PreferredBackupWindow]' --output json Verify point-in-time recovery capability and backup timing for recovery testing validation
Check evidence_v2/KSI-RPL-04/ for recovery_testing_procedures.pdf, disaster_recovery_test_results.xlsx with actual restore times, tabletop_exercise_reports.pdf, and recovery_lessons_learned.pdf</t>
  </si>
  <si>
    <t>Check evidence_v2/KSI-INR-01/ for incident_reporting_procedures, fedramp_incident_reporting_policy, incident_notification_templates, and regulatory_compliance_procedures</t>
  </si>
  <si>
    <t>aws logs describe-log-groups --log-group-name-prefix '/aws/security' --output json Check for security-related log groups for incident logging infrastructure
Check evidence_v2/KSI-INR-02/ for incident_log_register.xlsx, incident_pattern_analysis.pdf, vulnerability_trend_reports.pdf, and periodic_incident_reviews.pdf</t>
  </si>
  <si>
    <t>aws securityhub get-insights --output json Retrieve SecurityHub insights to identify available incident analysis capabilities
aws securityhub get-insight-results --insight-arn arn:aws:securityhub:us-east-1:893894210484:insight/893894210484/custom/5bcb2cd3-64e4-4493-b0ea-0dd45ec3b08c --output json Get specific incident insight results for after action analysis - production account specific
aws securityhub get-findings --filters '{"WorkflowState":[{"Value":"RESOLVED","Comparison":"EQUALS"}]}' --max-items 10 --output json Retrieve resolved security findings to demonstrate incident resolution and lessons learned
aws securityhub describe-standards --output json Verify security standards are being tracked for continuous improvement
Check evidence_v2/KSI-INR-03/ for after_action_reports.pdf, lessons_learned_database.xlsx, operational_improvements_tracking.pdf, and incident_response_improvements.pdf</t>
  </si>
  <si>
    <t>A secure cloud service offering will utilize cloud-native architecture and design principles to enforce and enhance the confidentiality, Integrity, and Availability of the system.
Cloud service providers MUST:
01: Configure ALL information resources to limit inbound and outbound traffic.</t>
  </si>
  <si>
    <t xml:space="preserve">A secure cloud service offering will utilize cloud-native architecture and design principles to enforce and enhance the confidentiality, Integrity, and Availability of the system.
02: Design systems to minimize the attack surface and minimize lateral movement if compromised.
</t>
  </si>
  <si>
    <t xml:space="preserve">A secure cloud service offering will utilize cloud native architecture and design principles to enforce and enhance the confidentiality, Integrity, and Availability of the system.
04: Use immutable infrastructure with strictly defined functionality and privileges by default.
</t>
  </si>
  <si>
    <t xml:space="preserve">A secure cloud service offering will utilize cloud native architecture and design principles to enforce and enhance the confidentiality, Integrity, and Availability of the system.
05: Have denial of service protection.
</t>
  </si>
  <si>
    <t xml:space="preserve">A secure cloud service offering will utilize cloud native architecture and design principles to enforce and enhance the confidentiality, Integrity, and Availability of the system.
06: Design systems for high availability and rapid recovery.
</t>
  </si>
  <si>
    <t xml:space="preserve">A secure cloud service offering will utilize cloud native architecture and design principles to enforce and enhance the confidentiality, Integrity, and Availability of the system.
07: Ensure cloud-native information resources are implemented based on host provider's best practices and documented guidance.
</t>
  </si>
  <si>
    <t xml:space="preserve">A secure cloud service off erring will enforce the use of approved cryptography, continuously verify component integrity, and restrict access to external services.
01:Harden and review network and system configurations
</t>
  </si>
  <si>
    <t xml:space="preserve">A secure cloud service off erring will enforce the use of approved cryptography, continuously verify component integrity, and restrict access to external services.
02: Encrypt or otherwise secure network traffic.
</t>
  </si>
  <si>
    <t xml:space="preserve">A secure cloud service off erring will enforce the use of approved cryptography, continuously verify component integrity, and restrict access to external services.
03: Encrypt all federal and sensitive information at rest
</t>
  </si>
  <si>
    <t xml:space="preserve">A secure cloud service off erring will enforce the use of approved cryptography, continuously verify component integrity, and restrict access to external services.
04: Manage configuration centrally
</t>
  </si>
  <si>
    <t xml:space="preserve">A secure cloud service off erring will enforce the use of approved cryptography, continuously verify component integrity, and restrict access to external services.
05: Enforce system and information resource integrity through cryptographic means.
</t>
  </si>
  <si>
    <t xml:space="preserve">A secure cloud service off erring will enforce the use of approved cryptography, continuously verify component integrity, and restrict access to external services.
06: Use automated key management systems to manage, protect, and regularly rotate digital keys and certificates.
</t>
  </si>
  <si>
    <t>A secure cloud service off erring will enforce the use of approved cryptography, continuously verify component integrity, and restrict access to external services.
7. Use a consistent, risk-informed approach for applying security patches</t>
  </si>
  <si>
    <t xml:space="preserve">A secure cloud service offering will protect user data, control access, and implement zero trust practices.
01: Enforce multi-factor authentication (MFA) using methods that are difficult to intercept or impersonate (phishing-resistant MFA) for all user authentication.
</t>
  </si>
  <si>
    <t xml:space="preserve">A secure cloud service offering will protect user data, control access, and implement zero trust practices.
02: Use secure passwordless methods for user authentication and authorization when feasible, otherwise enforce strong passwords with MFA.
 </t>
  </si>
  <si>
    <t xml:space="preserve">A secure cloud service offering will protect user data, control access, and implement zero trust practices.
03: Enforce appropriately secure authentication methods for non-user accounts and services.
</t>
  </si>
  <si>
    <t xml:space="preserve">A secure cloud service offering will protect user data, control access, and implement zero trust practices.
04: Use a least-privileged, role and attribute-based, and just-in-time security authorization model for all user and non-user accounts and services.
</t>
  </si>
  <si>
    <t xml:space="preserve">A secure cloud service offering will protect user data, control access, and implement zero trust practices.
05: Apply zero trust design principles.
</t>
  </si>
  <si>
    <t xml:space="preserve">A secure cloud service offering will protect user data, control access, and implement zero trust practices.
06: Automatically disable or otherwise secure accounts with privileged access in response to suspicious activity.
</t>
  </si>
  <si>
    <t>A secure cloud service offering will monitor, log, and audit all important events, activity, and changes.
01: Operate a Security Information and Event Management (SIEM) or similar system(s) for centralized, tamper-resistent logging of events, activities, and changes.</t>
  </si>
  <si>
    <t xml:space="preserve">A secure cloud service offering will monitor, log, and audit all important events, activity, and changes.
02: Regularly review and audit logs
</t>
  </si>
  <si>
    <t xml:space="preserve">A secure cloud service offering will monitor, log, and audit all important events, activity, and changes.
03: Rapidly detect and remediate or mitigate vulnerabilities
</t>
  </si>
  <si>
    <t>A secure cloud service offering will monitor, log, and audit all important events, activity, and changes.
04: Perform authenticated vulnerability scanning on information resources.</t>
  </si>
  <si>
    <t>A secure cloud service offering will monitor, log, and audit all important events, activity, and changes.
05: Perform Infrastructure as Code and configuration evaluation and testing.</t>
  </si>
  <si>
    <t xml:space="preserve">A secure cloud service offering will monitor, log, and audit all important events, activity, and changes.
06: Centrally track and prioritize the mitigation and/or remediation of identified vulnerabilities.
</t>
  </si>
  <si>
    <t xml:space="preserve">A secure cloud service provider will ensure that all system changes are properly documented and configuration baselines are updated accordingly.
01: Log and monitor system modifications
</t>
  </si>
  <si>
    <t xml:space="preserve">A secure cloud service provider will ensure that all system changes are properly documented and configuration baselines are updated accordingly.
02: Execute changes through redeployment of version controlled immutable resources rather than direct modification wherever possible
</t>
  </si>
  <si>
    <t xml:space="preserve">A secure cloud service provider will ensure that all system changes are properly documented and configuration baselines are updated accordingly.
03: Implement automated testing and validation of changes prior to deployment
</t>
  </si>
  <si>
    <t xml:space="preserve">A secure cloud service provider will ensure that all system changes are properly documented and configuration baselines are updated accordingly.
04: Have a documented change management procedure
</t>
  </si>
  <si>
    <t>A secure cloud service provider will ensure that all system changes are properly documented and configuration baselines are updated accordingly.
05: Evaluate the risk and potential impact of any change</t>
  </si>
  <si>
    <t xml:space="preserve">A secure cloud service offering will have intentional, organized, universal guidance for how every asset, including personnel, is secured.
01: Have an up-to-date information resource inventory or code defining all deployed assets, software, and services.
</t>
  </si>
  <si>
    <t>A secure cloud service offering will have intentional, organized, universal guidance for how every asset, including personnel, is secured.
02: Have policies outlining the security objectives of all information resources.</t>
  </si>
  <si>
    <t xml:space="preserve">A secure cloud service offering will have intentional, organized, universal guidance for how every asset, including personnel, is secured.
03: Maintain a vulnerability disclosure program
</t>
  </si>
  <si>
    <t>A secure cloud service offering will have intentional, organized, universal guidance for how every asset, including personnel, is secured.
04: Build security considerations into the Software Development Lifecycle and align with CISA Secure By Design principles.</t>
  </si>
  <si>
    <t xml:space="preserve">A secure cloud service offering will have intentional, organized, universal guidance for how every asset, including personnel, is secured.
05: Document methods used to evaluate information resource implementations.
</t>
  </si>
  <si>
    <t xml:space="preserve">A secure cloud service offering will have intentional, organized, universal guidance for how every asset, including personnel, is secured.
06: Have a dedicated staff and budget for security with executive support, commensurate with the size, complexity, scope, and risk of the service offering.
</t>
  </si>
  <si>
    <t xml:space="preserve">A secure cloud service offering will provide intentional, organized, and universal guidance on how every asset, including personnel, is secured.
07: Document risk management decisions for software supply chain security.
</t>
  </si>
  <si>
    <t xml:space="preserve">A secure cloud service offering will understand, monitor, and manage supply chain risks from third-party services or components.
01: Identify all third-party information resources
</t>
  </si>
  <si>
    <t xml:space="preserve">A secure cloud service offering will understand, monitor, and manage supply chain risks from third party services or components.
02: Regularly confirm that services handling federal information or are likely to impact the confidentiality, integrity, or availability of federal information are FedRAMP authorized and securely configured.
</t>
  </si>
  <si>
    <t xml:space="preserve">A secure cloud service offering will understand, monitor, and manage supply chain risks from third-party services or components.
03: Identify and prioritize mitigation of potential supply chain risks.
</t>
  </si>
  <si>
    <t xml:space="preserve">A secure cloud service offering will understand, monitor, and manage supply chain risks from third party services or components.
04: Monitor third party software information resources for upstream vulnerabilities, with contractual notification requirements or active monitoring services.
</t>
  </si>
  <si>
    <t xml:space="preserve">A secure cloud service provider will continuously educate their employees on cybersecurity measures, testing them regularly to ensure their knowledge is satisfactory.
01: Ensure all employees receive security awareness training
</t>
  </si>
  <si>
    <t>A secure cloud service provider will continuously educate their employees on cybersecurity measures, testing them regularly to ensure their knowledge is satisfactory.
02: Require role-specific training for high risk roles, including at least roles with privileged access.</t>
  </si>
  <si>
    <t xml:space="preserve">A secure cloud service offering will define, maintain, and test incident response plan(s) and recovery capabilities to ensure minimal service disruption and data loss during incidents and contingencies.
01: Define Recovery Time Objectives (RTO) and Recovery Point Objectives (RPO)
</t>
  </si>
  <si>
    <t xml:space="preserve">A secure cloud service offering will define, maintain, and test incident response plan(s) and recovery capabilities to ensure minimal service disruption and data loss during incidents and contingencies.
02: Develop and maintain a recovery plan that aligns with the defined recovery objectives
</t>
  </si>
  <si>
    <t xml:space="preserve">A secure cloud service offering will define, maintain, and test incident response plan(s) and recovery capabilities to ensure minimal service disruption and data loss during incidents and contingencies.
03: Perform system backups aligned with recovery objectives
</t>
  </si>
  <si>
    <t>A secure cloud service offering will define, maintain, and test incident response plan(s) and recovery capabilities to ensure minimal service disruption and data loss during incidents and contingencies.
04: Regularly test the capability to recover from incidents and contingencies</t>
  </si>
  <si>
    <t xml:space="preserve">A secure cloud service offering will document, report, and analyze security incidents to ensure regulatory compliance and continuous security improvement.
01: Report incidents according to FedRAMP requirements and cloud service provider policies
</t>
  </si>
  <si>
    <t xml:space="preserve">A secure cloud service offering will document, report, and analyze security incidents to ensure regulatory compliance and continuous security improvement.
02: Maintain a log of incidents and periodically review past incidents for patterns or vulnerabilities
</t>
  </si>
  <si>
    <t>A secure cloud service offering will document, report, and analyze security incidents to ensure regulatory compliance and continuous security improvement.
03: Generate after action reports and regularly incorporate lessons learned into operations</t>
  </si>
  <si>
    <t>Determination:
Automation Results: None
Manual Review:  KSI-CMT.03 performed through manual inspection.</t>
  </si>
  <si>
    <t>Determination:
Automation Results: None
Manual Review:  KSI-CMT.04 performed through manual inspection.</t>
  </si>
  <si>
    <t>Determination:
Automation Results: None
Manual Review:  KSI-CMT.05 performed through manual inspection.</t>
  </si>
  <si>
    <t>Determination:
Automation Results:
WARNING Partial inventory coverage (expand documentation): PASS AWS resource inventory: 73 tagged resources discovered
Manual Review: Check evidence_v2/KSI-PIY-01/ for asset_inventory.xlsx and software_inventory.pdf</t>
  </si>
  <si>
    <t>Determination:
Automation Results: None
Manual Review:  KSI-PIY.02 performed through manual inspection.</t>
  </si>
  <si>
    <t>Determination:
Automation Results: None
Manual Review:  KSI-PIY.03 performed through manual inspection.</t>
  </si>
  <si>
    <t>Determination:
Automation Results: None
WARNING Basic secure development practices (expand documentation): INFO No CodeCommit repositories (may use external source control)
PASS Secure SDLC documentation: Secure Software Development Lifecycle (SDLC) Policy.pdf
Check evidence_v2/KSI-PIY-04/ for secure_sdlc_procedures.pdf and cisa_secure_by_design_alignment.pdf</t>
  </si>
  <si>
    <t>Determination:
Automation Results: None
Manual Review:  KSI-PIY.05 performed through manual inspection.</t>
  </si>
  <si>
    <t>Determination:
Automation Results: None
Manual Review:  KSI-PIY.06 performed through manual inspection.</t>
  </si>
  <si>
    <t>Determination:
Automation Results: None
Manual Review:  KSI-PIY.07 performed through manual inspection.</t>
  </si>
  <si>
    <t>Determination:
Automation Results:
WARNING Partial third-party identification (expand documentation): PASS Documented third-party inventory: sbom_including_elastic.json, fedramp_moderate_vendor_list.xlsx, Elasticsearch Inc._06.04.2024_Self_Attestation.pdf
Manual Review: Check evidence_v2/KSI-TPR-01/ for third_party_inventory.xlsx, saas_services_list.pdf, and vendor_registry.pdf</t>
  </si>
  <si>
    <t>Determination:
Automation Results: None
Manual Review:  KSI-TPR.02 performed through manual inspection.</t>
  </si>
  <si>
    <t>Determination:
Automation Results: None
Manual Review:  KSI-TPR.03 performed through manual inspection.</t>
  </si>
  <si>
    <t>Determination:
Automation Results:
PASS Third-party software vulnerability monitoring established: PASS Active third-party vulnerability monitoring: 20 component vulnerabilities detected
PASS Manual evidence validation completed (vulnerability monitoring documentation verified)
Manual Review: Check evidence_v2/KSI-TPR-04/ for vulnerability_monitoring_contracts.pdf, upstream_vulnerability_procedures.pdf, and third_party_notification_agreements.pdf</t>
  </si>
  <si>
    <t xml:space="preserve">Determination:
Automation Results: None
Manual Review:  KSI-CED.01 performed through manual inspection. 
</t>
  </si>
  <si>
    <t xml:space="preserve">Determination:
Automation Results: None
Manual Review:  KSI-CED.02 performed through manual inspection. </t>
  </si>
  <si>
    <t>Determination:
Automation Results:
PASS RTO/RPO objectives defined with technical validation: PASS Core RTO/RPO documentation: rto_rpo_definitions.pdf
PASS RDS backup retention validated: 1/1 databases with BackupRetentionPeriod &gt; 0
PASS Point-in-time recovery capability: 1/1 databases support RPO objectives
PASS Backup infrastructure supports RTO/RPO: 1 backup plans configured
Manual Review: Check evidence_v2/KSI-RPL-01/ for rto_rpo_definitions.pdf with actual infrastructure-validated objectives, business_impact_analysis.pdf, and recovery_objectives_matrix.xlsx</t>
  </si>
  <si>
    <t>Determination:
Automation Results:
WARNING Good recovery planning (enhance technical alignment): PASS Core recovery plans: incident_reponse_policy.pdf, contingency_planning_policy.pdf
PASS Plan maintenance: 3 files updated within last year
Manual Review: Check evidence_v2/KSI-RPL-02/ for disaster_recovery_plan.pdf (updated with technical validation), incident_response_plan.pdf, recovery_procedures_playbook.pdf, and business_continuity_plan.pdf</t>
  </si>
  <si>
    <t>Determination:
Automation Results:
PASS Good recovery testing capability (documented procedures + technical validation): PASS Core testing documentation: combined_tabletop_test_report_template.pdf
PASS Recent testing: 2 test documents updated within last year
PASS Recovery testing documented - technical validation shows readiness for actual recovery
INFO No recent AWS Backup jobs (may use alternative backup methods)
PASS Point-in-time recovery testing capability: 1/1 databases ready for RPO validation
Manual Review: Check evidence_v2/KSI-RPL-04/ for recovery_testing_procedures.pdf, disaster_recovery_test_results.xlsx with actual restore times, tabletop_exercise_reports.pdf, and recovery_lessons_learned.pdf</t>
  </si>
  <si>
    <t xml:space="preserve">Determination:
Automation Results: None
Manual Review:  KSI-INR-01 performed through manual inspection.
</t>
  </si>
  <si>
    <t>Determination:
Automation Results:
PASS Incident logging maintained with periodic pattern analysis: PASS Security logging infrastructure: 1 security log groups configured
PASS Incident tracking and analysis: Incident Tracking and Analysis Template (KSI-INR-02).pdf
PASS Recent reviews: 1 incident analysis documents updated within 6 months
Manual Review: Check evidence_v2/KSI-INR-02/ for incident_log_register.xlsx, incident_pattern_analysis.pdf, vulnerability_trend_reports.pdf, and periodic_incident_reviews.pdf</t>
  </si>
  <si>
    <t>Determination:
Automation Results:
WARNING Basic after action reporting (increase lessons learned implementation): PASS Core after action documentation: Sample After Action Reports and Implementation Examples.pdf
PASS Recent after action reports: 2 AARs within last year
WARNING Limited evidence of lessons learned implementation into operations
Manual Review: Check evidence_v2/KSI-INR-03/ for after_action_reports.pdf, lessons_learned_database.xlsx, operational_improvements_tracking.pdf, and incident_response_improvements.pdf</t>
  </si>
  <si>
    <t>Manual</t>
  </si>
  <si>
    <t>Partial</t>
  </si>
  <si>
    <t>Examined:
1. failed_ksi_Report_readable.md (git/validation folder)
2. continuous_ksi_results.json (git/results folder)
3. ksi_rules:KSI-CNA.01.md (docs/ksi_rules)
Tested:
1. Validated KSI-CNA.01-cli_output.json (KSI-CNA.01)</t>
  </si>
  <si>
    <t>Examined:
1. failed_ksi_Report_readable.md (git/validation folder)
2. continuous_ksi_results.json (git/results folder)
3. ksi_rules:KSI-CNA.02.md (docs/ksi_rules)
Tested:
1. Validated KSI-CNA.02-cli_output.json (KSI-CNA.02)</t>
  </si>
  <si>
    <t>Examined:
1. failed_ksi_Report_readable.md (git/validation folder)
2. continuous_ksi_results.json (git/results folder)
3. ksi_rules:KSI-CNA.03.md (docs/ksi_rules)
Tested:
1. Validated KSI-CNA.03-cli_output.json (KSI-CNA.03)</t>
  </si>
  <si>
    <t>Examined:
1. failed_ksi_Report_readable.md (git/validation folder)
2. continuous_ksi_results.json (git/results folder)
3. ksi_rules:KSI-CNA.04.md (docs/ksi_rules)
Tested:
1. Validated KSI-CNA.04-cli_output.json (KSI-CNA.04)</t>
  </si>
  <si>
    <t>Examined:
1. failed_ksi_Report_readable.md (git/validation folder)
2. continuous_ksi_results.json (git/results folder)
3. ksi_rules:KSI-CNA.05.md (docs/ksi_rules)
Tested:
1. Validated KSI-CNA.05-cli_output.json (KSI-CNA.05)</t>
  </si>
  <si>
    <t>Examined:
1. failed_ksi_Report_readable.md (git/validation folder)
2. continuous_ksi_results.json (git/results folder)
3. ksi_rules:KSI-CNA.06.md (docs/ksi_rules)
Tested:
1. Validated KSI-CNA.06-cli_output.json (KSI-CNA.06)</t>
  </si>
  <si>
    <t>Examined:
1. failed_ksi_Report_readable.md (git/validation folder)
2. continuous_ksi_results.json (git/results folder)
3. ksi_rules:KSI-CNA.07.md (docs/ksi_rules)
Tested:
1. Validated KSI-CNA.07-cli_output.json (KSI-CNA.07)</t>
  </si>
  <si>
    <t>Examined:
1. failed_ksi_Report_readable.md (git/validation folder)
2. continuous_ksi_results.json (git/results folder)
3. ksi_rules:KSI-SVC.01.md (docs/ksi_rules)
Tested:
1. Validated KSI-SVC.01-cli_output.json (KSI-SVC.01)</t>
  </si>
  <si>
    <t>Examined:
1. failed_ksi_Report_readable.md (git/validation folder)
2. continuous_ksi_results.json (git/results folder)
3. ksi_rules:KSI-SVC.02.md (docs/ksi_rules)
Tested:
1. Validated KSI-SVC.02-cli_output.json (KSI-SVC.02)</t>
  </si>
  <si>
    <t>Examined:
1. failed_ksi_Report_readable.md (git/validation folder)
2. continuous_ksi_results.json (git/results folder)
3. ksi_rules:KSI-SVC.03.md (docs/ksi_rules)
Tested:
1. Validated KSI-SVC.03-cli_output.json (KSI-SVC.03)</t>
  </si>
  <si>
    <t>Examined:
1. failed_ksi_Report_readable.md (git/validation folder)
2. continuous_ksi_results.json (git/results folder)
3. ksi_rules:KSI-SVC.04.md (docs/ksi_rules)
Tested:
1. Validated KSI-SVC.04-cli_output.json (KSI-SVC.04)</t>
  </si>
  <si>
    <t>Examined:
1. failed_ksi_Report_readable.md (git/validation folder)
2. continuous_ksi_results.json (git/results folder)
3. ksi_rules:KSI-SVC.05.md (docs/ksi_rules)
Tested:
1. Validated KSI-SVC.05-cli_output.json (KSI-SVC.05)</t>
  </si>
  <si>
    <t>Examined:
1. failed_ksi_Report_readable.md (git/validation folder)
2. continuous_ksi_results.json (git/results folder)
3. ksi_rules:KSI-SVC.06.md (docs/ksi_rules)
Tested:
1. Validated KSI-SVC.06-cli_output.json (KSI-SVC.06)</t>
  </si>
  <si>
    <t>Examined:
1. failed_ksi_Report_readable.md (git/validation folder)
2. continuous_ksi_results.json (git/results folder)
3. ksi_rules:KSI-SVC.7.md (docs/ksi_rules)
Tested:
1. Validated KSI-SVC.7-cli_output.json (KSI-SVC.7)</t>
  </si>
  <si>
    <t>Examined:
1. failed_ksi_Report_readable.md (git/validation folder)
2. continuous_ksi_results.json (git/results folder)
3. ksi_rules:KSI-IAM.01.md (docs/ksi_rules)
Tested:
1. Validated KSI-IAM.01-cli_output.json (KSI-IAM.01)</t>
  </si>
  <si>
    <t>Examined:
1. failed_ksi_Report_readable.md (git/validation folder)
2. continuous_ksi_results.json (git/results folder)
3. ksi_rules:KSI-IAM.02.md (docs/ksi_rules)
Tested:
1. Validated KSI-IAM.02-cli_output.json (KSI-IAM.02)</t>
  </si>
  <si>
    <t>Examined:
1. failed_ksi_Report_readable.md (git/validation folder)
2. continuous_ksi_results.json (git/results folder)
3. ksi_rules:KSI-IAM.03.md (docs/ksi_rules)
Tested:
1. Validated KSI-IAM.03-cli_output.json (KSI-IAM.03)</t>
  </si>
  <si>
    <t>Examined:
1. failed_ksi_Report_readable.md (git/validation folder)
2. continuous_ksi_results.json (git/results folder)
3. ksi_rules:KSI-IAM.04.md (docs/ksi_rules)
Tested:
1. Validated KSI-IAM.04-cli_output.json (KSI-IAM.04)</t>
  </si>
  <si>
    <t>Examined:
1. failed_ksi_Report_readable.md (git/validation folder)
2. continuous_ksi_results.json (git/results folder)
3. ksi_rules:KSI-IAM.05.md (docs/ksi_rules)
Tested:
1. Validated KSI-IAM.05-cli_output.json (KSI-IAM.05)</t>
  </si>
  <si>
    <t>Examined:
1. failed_ksi_Report_readable.md (git/validation folder)
2. continuous_ksi_results.json (git/results folder)
3. ksi_rules:KSI-IAM.06.md (docs/ksi_rules)
Tested:
1. Validated KSI-IAM.06-cli_output.json (KSI-IAM.06)</t>
  </si>
  <si>
    <t>Examined:
1. failed_ksi_Report_readable.md (git/validation folder)
2. continuous_ksi_results.json (git/results folder)
3. ksi_rules:KSI-MLA.01.md (docs/ksi_rules)
Tested:
1. Validated KSI-MLA.01-cli_output.json (KSI-MLA.01)</t>
  </si>
  <si>
    <t>Examined:
1. failed_ksi_Report_readable.md (git/validation folder)
2. continuous_ksi_results.json (git/results folder)
3. ksi_rules:KSI-MLA.02.md (docs/ksi_rules)
Tested:
1. Validated KSI-MLA.02-cli_output.json (KSI-MLA.02)</t>
  </si>
  <si>
    <t>Examined:
1. failed_ksi_Report_readable.md (git/validation folder)
2. continuous_ksi_results.json (git/results folder)
3. ksi_rules:KSI-MLA.03.md (docs/ksi_rules)
Tested:
1. Validated KSI-MLA.03-cli_output.json (KSI-MLA.03)</t>
  </si>
  <si>
    <t>Examined:
1. failed_ksi_Report_readable.md (git/validation folder)
2. continuous_ksi_results.json (git/results folder)
3. ksi_rules:KSI-MLA.04.md (docs/ksi_rules)
Tested:
1. Validated KSI-MLA.04-cli_output.json (KSI-MLA.04)</t>
  </si>
  <si>
    <t>Examined:
1. failed_ksi_Report_readable.md (git/validation folder)
2. continuous_ksi_results.json (git/results folder)
3. ksi_rules:KSI-MLA.05.md (docs/ksi_rules)
Tested:
1. Validated KSI-MLA.05-cli_output.json (KSI-MLA.05)</t>
  </si>
  <si>
    <t>Examined:
1. failed_ksi_Report_readable.md (git/validation folder)
2. continuous_ksi_results.json (git/results folder)
3. ksi_rules:KSI-MLA.06.md (docs/ksi_rules)
Tested:
1. Validated KSI-MLA.06-cli_output.json (KSI-MLA.06)</t>
  </si>
  <si>
    <t>Examined:
1. failed_ksi_Report_readable.md (git/validation folder)
2. continuous_ksi_results.json (git/results folder)
3. ksi_rules:KSI-CMT.01.md (docs/ksi_rules)
Tested:
1. Validated KSI-CMT.01-cli_output.json (KSI-CMT.01)</t>
  </si>
  <si>
    <t>Examined:
1. failed_ksi_Report_readable.md (git/validation folder)
2. continuous_ksi_results.json (git/results folder)
3. ksi_rules:KSI-CMT.02.md (docs/ksi_rules)
Tested:
1. Validated KSI-CMT.02-cli_output.json (KSI-CMT.02)</t>
  </si>
  <si>
    <t>Examined:
1. failed_ksi_Report_readable.md (git/validation folder)
2. continuous_ksi_results.json (git/results folder)
3. ksi_rules:KSI-CMT.03.md (docs/ksi_rules)
Tested:
1. Validated KSI-CMT.03-cli_output.json (KSI-CMT.03)
2. Validated automated_testing_proof.json (KSI-CMT.03)
3. Validated Chedkov_scan_summary.json (KSI-CMT.03)</t>
  </si>
  <si>
    <t>Examined:
1. failed_ksi_Report_readable.md (git/validation folder)
2. continuous_ksi_results.json (git/results folder)
3. ksi_rules:KSI-CMT.04.md (docs/ksi_rules)
Tested:
1. Validated KSI-CMT.04-cli_output.json (KSI-CMT.04)
2. Inspected configuration_management_plan (KSI-CMT.04)
3. Inspected configuration_management_policy_and_procedures (KSI-CMT.04)
4. Inspected weekly_change_management_meeting_final.png (KSI-CMT.04)</t>
  </si>
  <si>
    <t>Examined:
1. failed_ksi_Report_readable.md (git/validation folder)
2. continuous_ksi_results.json (git/results folder)
3. ksi_rules:KSI-CMT.05.md (docs/ksi_rules)
Tested:
1. Validated KSI-CMT.05-cli_output.json (KSI-CMT.05)
2. Inspected Change Impact Analysis Template (KSI-CMT-05)
3. Inspected Risk Assessment Procedure for Change Management (KSI-CMT-05)
4. Inspected configuration_management_plan (KSI-CMT.05)
5. Inspected configuration_management_policy_and_procedures (KSI-CMT.05)</t>
  </si>
  <si>
    <t>Examined:
1. failed_ksi_Report_readable.md (git/validation folder)
2. continuous_ksi_results.json (git/results folder)
3. ksi_rules:KSI-PIY.01.md (docs/ksi_rules)
Tested:
1. Validated KSI-PIY.01-cli_output.json (KSI-PIY.01)</t>
  </si>
  <si>
    <t>Examined:
1. failed_ksi_Report_readable.md (git/validation folder)
2. continuous_ksi_results.json (git/results folder)
3. ksi_rules:KSI-PIY.02.md (docs/ksi_rules)
Tested:
1. Validated KSI-PIY.02-cli_output.json (KSI-PIY.02)
2. Inspected data_classification_handling_policy (KSI-PIY.02)
3. Inspected personnel_security_policy (KSI-PIY.02)
5. Inspected security_policy_collection_repository.zip (KSI-PIY.02)</t>
  </si>
  <si>
    <t>Examined:
1. failed_ksi_Report_readable.md (git/validation folder)
2. continuous_ksi_results.json (git/results folder)
3. ksi_rules:KSI-PIY.03.md (docs/ksi_rules)
Tested:
1. Validated KSI-PIY.03-cli_output.json (KSI-PIY.03)
2. Inspected vulnerability_disclosure_program_final (KSI-PIY.03)</t>
  </si>
  <si>
    <t>Examined:
1. failed_ksi_Report_readable.md (git/validation folder)
2. continuous_ksi_results.json (git/results folder)
3. ksi_rules:KSI-PIY.04.md (docs/ksi_rules)
Tested:
1. Validated KSI-PIY.04-cli_output.json (KSI-PIY.04)</t>
  </si>
  <si>
    <t>Examined:
1. failed_ksi_Report_readable.md (git/validation folder)
2. continuous_ksi_results.json (git/results folder)
3. ksi_rules:KSI-PIY.05.md (docs/ksi_rules)
Tested:
1. Validated KSI-PIY.05-cli_output.json (KSI-PIY.05)
2. Inspceted Information Resource Evaluation Methodology (KSI-PIY-05)</t>
  </si>
  <si>
    <t>Examined:
1. failed_ksi_Report_readable.md (git/validation folder)
2. continuous_ksi_results.json (git/results folder)
3. ksi_rules:KSI-PIY.06.md (docs/ksi_rules)
Tested:
1. Validated KSI-PIY.06-cli_output.json (KSI-PIY.06)
2. Inspected security_budget_allocation_and_roles (KSI-PIY.06)</t>
  </si>
  <si>
    <t>Examined:
1. failed_ksi_Report_readable.md (git/validation folder)
2. continuous_ksi_results.json (git/results folder)
3. ksi_rules:KSI-PIY.07.md (docs/ksi_rules)
Tested:
1. Validated KSI-PIY.07-cli_output.json (KSI-PIY.07)
2. Inspected Software Supply Chain Risk Management Framework (KSI-PIY-07)
3. Inspected weekly_change_management_meeting_final.png</t>
  </si>
  <si>
    <t>Examined:
1. failed_ksi_Report_readable.md (git/validation folder)
2. continuous_ksi_results.json (git/results folder)
3. ksi_rules:KSI-TPR.01.md (docs/ksi_rules)
Tested:
1. Validated KSI-TPR.01-cli_output.json (KSI-TPR.01)</t>
  </si>
  <si>
    <t>Examined:
1. failed_ksi_Report_readable.md (git/validation folder)
2. continuous_ksi_results.json (git/results folder)
3. ksi_rules:KSI-TPR.02.md (docs/ksi_rules)
Tested:
1. Validated KSI-TPR.02-cli_output.json (KSI-TPR.02)
2. Validated FedRAMP_Low_Boundary_Diagram.pdf (KSI-TPR.02)
3. Inspected Federal Information Mapping - Meridian LMS.pdf(KSI-TPR.02)</t>
  </si>
  <si>
    <t xml:space="preserve">Examined:
1. failed_ksi_Report_readable.md (git/validation folder)
2. continuous_ksi_results.json (git/results folder)
3. ksi_rules:KSI-TPR.03.md (docs/ksi_rules)
Tested:
1. Validated KSI-TPR.03-cli_output.json (KSI-TPR.03)
2. Inspected Software Supply Chain Risk Management Framework (KSI-PIY-07).pdf
</t>
  </si>
  <si>
    <t>Examined:
1. failed_ksi_Report_readable.md (git/validation folder)
2. continuous_ksi_results.json (git/results folder)
3. ksi_rules:KSI-TPR.04.md (docs/ksi_rules)
Tested:
1. Validated KSI-TPR.04-cli_output.json (KSI-TPR.04)</t>
  </si>
  <si>
    <t>Examined:
1. https://github.com/Meridian-Knowledge-Solutions/fedramp-20x-submission-final/tree/main/evidence_v2/KSI-CED-01
- cyber_security_Training.png
- fedramp_role_based.png
- security_training_roster.png
2. ksi_rules: KSI-CED.01.md (docs/ksi_rules)
Tested:
1.  Examined training records for Adam Bell, Adam Burroughs, Adrianna Bennett, Aubrey Zuro, Gabriel Crockett, Jake Silvers, James Hetzel, James Morris, Kirk Weir, Linda Sung, Quin Crease, Samuel Mbah, and Scott VanSooy.</t>
  </si>
  <si>
    <t>Examined:
1. https://github.com/Meridian-Knowledge-Solutions/fedramp-20x-submission-final/tree/main/evidence_v2/KSI-CED-02
2. ksi_rules: KSI-CED.02.md (docs/ksi_rules)
Tested:
1.  Inspected the list of the role-based Meridian training, which includes:  FedRAMP Privileged Access Management, FedRAMP Systems Admin Training, FedRAMP SecOPS Admin Training, and Insider Threat Awareness 2022</t>
  </si>
  <si>
    <t>Examined:
1. Contingency Planning Policy (KSI-RPL-02)
2. Incident Response Policy (KSI-RPL-02)
3. ksi_rules: KSI-RPL.01.md (docs/ksi_rules)
Tested:
1. Reviewed the Contingency Plan (KSI-RPL-01)
2. Inspected the Combined Tabletop Test Report (KSI-RPL-01)
3. RTO RPO Definitions (KSI-RPL-01)
4. Inspected the contingency plan test report (KSI-RPL-04)</t>
  </si>
  <si>
    <t>Examined:
1. Contingency Planning Policy (KSI-RPL-02)
2. Incident Response Policy (KSI-RPL-02)
3. ksi_rules: KSI-RPL.02.md (docs/ksi_rules)
Tested:
1. Reviewed the Contingency Plan (KSI-RPL-01)
2. Inspected the Combined Tabletop Test Report (KSI-RPL-01)
3. RTO RPO Definitions (KSI-RPL-01)</t>
  </si>
  <si>
    <t xml:space="preserve">Examined:
1. Contingency Planning Policy (KSI-RPL-02)
2. Incident Response Policy (KSI-RPL-02)
3. ksi_rules: KSI-RPL.03.md (docs/ksi_rules)
Tested:
1. Inspected the cli_ouput.json (KSI-RPL-03)
</t>
  </si>
  <si>
    <t xml:space="preserve">Examined:
1. Contingency Planning Policy (KSI-RPL-02)
2. Incident Response Policy (KSI-RPL-02)
3. ksi_rules: KSI-RPL.04.md (docs/ksi_rules)
Tested:
1. Inspected the contingency plan test report (KSI-RPL-04)
2. Inspected the Combined Tabletop Test Report (KSI-RPL-01)
</t>
  </si>
  <si>
    <t>Examined:
1. Incident Reponse Policy and Procedures.pdf (KSI-INR-01)
2. Contingency Planning Policy (KSI-INR-01)
3. ksi_rules: KSI-INR.02.md (docs/ksi_rules)
Tested:
1. Inspected the Incident Tracking and Pattern Analysis System KSI-INR-02)
2. Inspected the automation output cli_output.json for incident patterns (KSI-INR-02)</t>
  </si>
  <si>
    <t xml:space="preserve">Examined:
1. Incident Reponse Policy and Procedures.pdf (KSI-INR-01)
2. Contingency Planning Policy (KSI-INR-01)
3. ksi_rules: KSI-INR.03.md (docs/ksi_rules)
Tested:
1. Inspected the AfterAction Report and Lessons Learned (KSI-INR-03)
2. Inspected the Sample After Action Reports and Implementation Examples (KSI-INR-03)
3. Inspected the automation output cli_output.json for IR tracking in SecurityHub (KSI-INR-03)
</t>
  </si>
  <si>
    <t>Check AWS Shield Advanced subscription for premium DDoS protection and response team
aws wafv2 list-web-acls --scope REGIONAL --output json Validate WAF for application-layer DDoS protection and rate limiting
aws wafv2 list-web-acls --scope CLOUDFRONT --output json Check CloudFront WAF for edge-based application protection
aws cloudfront list-distributions --output json Verify CloudFront distributions for edge-based DDoS protection and traffic distribution
aws elbv2 describe-load-balancers --output json Check load balancers for traffic distribution and DDoS mitigation capabilities
aws autoscaling describe-auto-scaling-groups --output json Validate Auto Scaling Groups for capacity-based DDoS mitigation
aws route53 list-hosted-zones --output json Check Route 53 for DNS-layer protection and traffic routing capabilities
aws cloudwatch describe-alarms --output json Verify CloudWatch alarms for DDoS detection and automated response</t>
  </si>
  <si>
    <t>aws ec2 describe-security-groups --output json Analyze security groups for comprehensive ingress AND egress traffic controls
aws ec2 describe-network-acls --output json Check Network ACLs for subnet-level traffic filtering (defense in depth)
aws ec2 describe-route-tables --output json Validate route tables for controlled traffic routing and egress paths
aws ec2 describe-nat-gateways --output json Check NAT Gateways for controlled egress traffic from private subnets
aws ec2 describe-vpc-endpoints --output json Validate VPC endpoints for private service access (avoiding internet routing)
aws wafv2 list-web-acls --scope REGIONAL --output json Check WAF for application-layer traffic filtering and protection
aws elbv2 describe-load-balancers --output json Analyze load balancers for traffic distribution and access controls
aws logs describe-log-groups --log-group-name-prefix /aws/vpc/flowlogs --output json Verify VPC Flow Logs for traffic monitoring and visibility (CloudWatch destination)</t>
  </si>
  <si>
    <t>Determination:
Automation Results:
PASS Strong multi-layer traffic controls (84%): PASS VPC infrastructure: 1 VPC(s) detected
PASS Strong ingress controls: 13/14 security groups are restrictive
FAIL Minimal egress controls: 1/14 security groups control outbound traffic
PASS Default security group is properly secured
PASS Custom network controls: 1/1 Network ACLs with custom traffic filtering rules
PASS Controlled egress routing: 1 private route table with NAT gateway routing
PASS Managed egress: 1 NAT gateway for controlled outbound access
PASS Private service access: 7 VPC endpoints reduce internet-bound traffic
PASS Application-layer protection: 1 WAF Web ACLs configured
PASS Traffic distribution: 1 load balancer (1 public, 0 internal)
PASS Traffic visibility: 1 VPC Flow Log group for traffic monitoring
Manual Testing:  None</t>
  </si>
  <si>
    <t>Automation Results:
PASS Excellent attack surface minimization and lateral movement prevention (85%): PASS Strong attack surface minimization: 6/8 private subnets (75%)
PASS Good AZ segmentation: 8 subnets across 2 availability zones
PASS Strong micro-segmentation: 13/14 custom security groups
PASS Lateral movement barriers: 7/14 security groups with specific rules
PASS Minimal compute exposure: 4/4 instances in private subnets
PASS Database isolation: All 1 RDS instances private
PASS Controlled service exposure: Single internet-facing load balancer with private backend services
PASS Lambda isolation: 1/3 functions in VPC
PASS Advanced segmentation barriers: 1/1 Network ACLs with custom isolation rules
Manual Testing:  None</t>
  </si>
  <si>
    <t>Determination:
Automation Results:
PASS Production-ready multi-layer defense and automated compliance (72%): PASS Network hardening foundation: 14 security groups (14 hardened, 0 require review)
PASS System configuration management: 4 instances configured
PASS Comprehensive system management: 4/4 instances under SSM (100% coverage)
PASS Automated patch management: 17 patch baselines configured
INFO Config service available but no rules configured
INFO 1 default Network ACLs (consider custom rules for enhanced security)
PASS Threat detection enabled: 1 GuardDuty detectors monitoring for threats
PASS Application layer protection: 1 Web ACLs configured
PASS Enterprise-wide security governance: AWS Organizations enables centralized hardening policies
PASS Advanced organization features: SCPs and advanced governance capabilities enabled
Manual Testing:  None</t>
  </si>
  <si>
    <t>Determination:
Automation Results:
PASS Production-ready multi-layer traffic encryption and certificate management (65%): PASS Load balancer encryption capability: 1 load balancers configured for traffic encryption
PASS Private service communication: 7 VPC endpoints (4 interface, 1 gateway)
INFO No load balancer listeners configured
INFO No CloudFront distributions for global traffic encryption
PASS API encryption capability: 1 API Gateway endpoints (HTTPS by default)
PASS Database encryption capability: 1 RDS instances (0 with encrypted storage)
INFO No ElastiCache clusters for cache encryption
PASS Automated certificate management: 2/2 active ACM certificates (100% healthy)
INFO No VPN connections for hybrid connectivity encryption
PASS Enterprise-wide encryption governance: AWS Organizations enables centralized traffic encryption policies
PASS Advanced organization features: SCPs for encryption policy enforcement enabled
Manual Testing:  None</t>
  </si>
  <si>
    <t>Determination:
Automation Results:
PASS Production-ready comprehensive configuration management with advanced automation (70%): PASS Parameter management: 6 SSM parameters for centralized configuration
INFO AWS Config available but not configured
PASS Configuration automation: 123 SSM documents (0 custom, 123 AWS-managed)
PASS Infrastructure as Code: 8/8 successful CloudFormation stacks (100%)
PASS Secure configuration management: 1 centrally managed secrets
PASS System configuration standards: 17 patch baselines for standardized management
INFO No Config rules for automated compliance validation
WARNING Instances registered with SSM but none online
INFO No Service Catalog products for configuration standardization
PASS Enterprise-wide configuration governance: AWS Organizations enables centralized configuration policies
PASS Advanced organization features: SCPs for configuration policy enforcement enabled
Manual Testing:  None</t>
  </si>
  <si>
    <t>Determination:
Automation Results:
PASS Advanced risk-informed patching with controlled deployment and compliance (45%): PASS Consistent patch management: 17 patch baselines configured for standardized patching
WARNING SSM agents installed but none online (4 total)
INFO No patch groups configured for risk-based segmentation
INFO No maintenance windows for controlled patch deployment
PASS Patch automation framework: 14/123 documents for automated patching (11%)
INFO No Inspector configuration for vulnerability-driven patching
INFO No ECR repositories for container image patching
INFO No Lambda layers for serverless runtime patching
INFO No Config rules for patch compliance monitoring
PASS Enterprise-wide patch governance: AWS Organizations enables centralized risk-informed patch policies
PASS Advanced organization features: SCPs for patch management policy enforcement enabled
Manual Testing:  None</t>
  </si>
  <si>
    <t>Determination:
Automation Results:
PASS Identity Center users: 8 users
PASS External IdP provisioning: 8/8 users via SCIM
PASS Okta identity provider: 8/8 users with Okta IDs
PASS Complete federation: 100% of users from external IdP
PASS Minimal traditional IAM: 2 users (appropriate for federated architecture)
PASS Traditional IAM users: Service accounts with federated MFA coverage upstream
PASS Federated MFA enforcement: External IdP (Okta) enforces MFA upstream of AWS
Manual Testing:  None</t>
  </si>
  <si>
    <t>Determination:
Automation Results:
PASS Excellent authentication security (passwordless methods): PASS 1 SAML providers configured (passwordless authentication)
INFO No traditional MFA devices (not needed with SAML authentication)
PASS No password policy needed (passwordless authentication in use)
Manual Testing:  None</t>
  </si>
  <si>
    <t>Determination:
Automation Results:
PASS Using temporary credentials (passwordless method)
INFO No traditional MFA devices (not needed with SAML authentication)
PASS No password policy needed (passwordless authentication in use)
Manual Testing:  None</t>
  </si>
  <si>
    <t>Determination:
Automation Results:
PASS Excellent modern authorization model (95%): PASS IAM Identity Center configured: 1 active instance(s)
PASS Permission sets deployed: 3 sets (modern role-based access)
PASS Modern authorization model: Permission sets provide role-based, attribute-based, and just-in-time access
PASS Active permission sets: AdministratorAccess, Production, ReadOnlyAccess
PASS Role-based access pattern: 33 user-oriented roles vs 2 users (23 service roles)
PASS Controlled user count: 2 users (excellent for least privilege)
PASS Controlled policy count: 3 custom policies (good least privilege)
PASS Role-based session: Using temporary credentials (just-in-time access)
Manual Testing:  None</t>
  </si>
  <si>
    <t>Determination:
Automation Results:
PASS Comprehensive zero trust implementation (88%): PASS Modern identity platform: IAM Identity Center configured (1 instance(s))
PASS Federated MFA enforcement: External IdP (Okta) enforces MFA upstream of AWS
PASS External IdP provisioning: 8/8 users via SCIM (100%)
PASS Okta identity provider: 8/8 users with Okta IDs (100%)
PASS Complete federation coverage: 100% of users from external IdP
PASS Excellent network micro-segmentation: 13 restrictive vs 1 permissive security groups (93% restrictive)
PASS Role-based credentials: Using assumed role session
PASS Comprehensive secure communications: 7 VPC endpoints configured (4 interface, 1 gateway, 2 gateway-lb)
PASS Active continuous monitoring: CloudTrail 'meridianks-Management-events' actively logging
Manual Testing:  None</t>
  </si>
  <si>
    <t>Determination:
Automation Results:
PASS Enterprise-grade automated response capabilities: PASS Advanced threat detection: GuardDuty enabled (1 detector(s))
PASS Centralized security management: Security Hub enabled
PASS Automated security triggers: 7 active EventBridge rules
PASS Modern identity automation: Identity Center configured (1 instance(s))
PASS Built-in automated identity controls: Session management, conditional access, risk-based authentication
PASS Enterprise automated compliance: 369 Config rules for security across accounts
PASS Automated response functions: 2 security automation functions
PASS Enterprise automated monitoring: 1 security alarms across accounts
PASS Enterprise multi-account security governance: Cross-account automation capabilities
Manual Testing:  None</t>
  </si>
  <si>
    <t>Determination:
Automation Results:
PASS Production-ready SIEM with advanced monitoring capabilities (69%): PASS CloudTrail foundation: 1 trails (0 active, 1 tamper-resistant)
PASS Centralized log collection: 8 log groups (6 AWS services, 2 applications)
PASS Log retention management: 8/8 log groups with retention policies
PASS Compliance-grade retention: 4 log groups with long-term retention (365+ days)
PASS Cryptographic infrastructure: 11 KMS keys available for log protection
PASS Advanced threat detection: 20 Security Hub findings (4 active)
PASS Enterprise-wide logging: AWS Organizations enables centralized multi-account SIEM
PASS Multi-region audit coverage: 1 trails across all regions
PASS Global service monitoring: 1 trails capturing global AWS events
Manual Testing:  None</t>
  </si>
  <si>
    <t>Determination:
Automation Results:
PASS Production-ready log review with good automation (56%): PASS Log review notifications: 1 SNS topics for alert delivery
PASS Manual review capability: 8 log groups available for analysis
PASS Advanced log correlation: 1 Security Hub insights for intelligent analysis
PASS Audit event analysis: 10 recent CloudTrail events available for review
PASS Compliance retention: 8/8 log groups with retention policies
PASS Long-term audit capability: 4 log groups with compliance-grade retention (365+ days)
PASS Enterprise log aggregation: AWS Organizations enables centralized multi-account log review
Manual Testing:  None</t>
  </si>
  <si>
    <t>Determination:
Automation Results:
PASS Advanced vulnerability management with automated remediation (78%): FAIL Security Hub not configured for vulnerability detection
PASS Automated vulnerability scanning: Inspector EC2, ECR scanning enabled
PASS Multi-service vulnerability coverage: Both EC2 and ECR scanning for comprehensive assessment
PASS Automated patch management: 17 patch baselines (15 default, 2 custom)
PASS Tailored remediation: 2 custom patch baselines for targeted vulnerability response
PASS Active threat analysis: 11 active security findings (0 critical, 1 high)
PASS Comprehensive threat detection: 5 different vulnerability types identified
PASS Intelligent threat detection: Advanced pattern recognition and behavioral analysis capabilities
PASS Enterprise vulnerability management: AWS Organizations enables centralized multi-account detection
Manual Testing:  None</t>
  </si>
  <si>
    <t>Determination:
Automation Results:
PASS Enterprise-grade authenticated vulnerability scanning with comprehensive coverage: PASS Inspector service operational: Responds to coverage queries and scanning requests
PASS Comprehensive scanning coverage: 4/4 instances under authenticated scanning
PASS Multi-service authenticated scanning: Inspector EC2, ECR scanning enabled
PASS Comprehensive service scanning: Both EC2 and ECR authenticated vulnerability assessment enabled
WARNING SSM agents configured but connectivity issues: 4 instances with connection problems
PASS Serverless code analysis: 3 Lambda functions available for authenticated code vulnerability scanning
PASS Active Lambda scanning: 3 functions actively scanned by Inspector
PASS Comprehensive workload coverage: 3 service types available for authenticated scanning (EC2, Lambda, SSM)
PASS Active vulnerability intelligence: 20 authenticated scan findings (0 critical, 5 high, 10 medium, 5 low)
PASS Comprehensive vulnerability discovery: High-volume scanning indicates thorough authenticated assessment
PASS Automated discovery: Inspector service can automatically detect and scan new resources
PASS Enterprise scanning governance: AWS Organizations enables centralized multi-account vulnerability scanning
PASS Enterprise scanning integration: Multi-service Inspector configuration for comprehensive authenticated assessment
Manual Testing:  None</t>
  </si>
  <si>
    <t>Determination:
Automation Results:
PASS Enterprise-grade Infrastructure as Code evaluation and testing: PASS Infrastructure as Code deployment: 8/8 successful CloudFormation stacks
PASS Parameterized configuration management: 6 SSM parameters
WARNING No Config rules for infrastructure evaluation
PASS Infrastructure drift detection: 8 stacks monitored
INFO No automated testing projects (consider for production)
INFO No automated deployment pipelines (consider for production)
PASS Deployment audit trail: 2 tracked deployment events
PASS Resource governance: 2 managed CloudFormation resources
PASS Enterprise multi-account governance: AWS Organizations enabled
Manual Testing:  None</t>
  </si>
  <si>
    <t>Determination:
Automation Results:
PASS Production-ready automated vulnerability tracking and remediation workflows: PASS Centralized tracking: 100 Security Hub findings (0 critical, 32 high, 7 active)
PASS Vulnerability prioritization: 100 Inspector findings (0 critical, 32 high)
PASS Vulnerability analytics: 1 Security Hub insights for trend analysis
INFO No patch groups configured for remediation automation
PASS Patch management: 17 patch baselines for vulnerability remediation workflows
INFO No CloudWatch alarms configured for vulnerability alerting
PASS Stakeholder communication: 1 SNS topics for vulnerability notifications
INFO No EventBridge rules configured for automated vulnerability response
PASS Enterprise governance: Organization-wide vulnerability tracking policies and remediation standards
Manual Testing:  None</t>
  </si>
  <si>
    <t>Determination:
Automation Results:
PASS Production-ready configuration baseline management with automated compliance (60%): PASS System modification logging configured: 1 CloudTrail trails (1 global events)
PASS Configuration baseline recording: 1 Config recorders (1 comprehensive)
INFO No Config rules for baseline compliance monitoring
PASS Infrastructure baseline templates: 8/8 successful CloudFormation stacks (100%)
PASS Configuration parameter baselines: 6 SSM parameters for standardized configuration
PASS Drift detection capability: CloudFormation enables baseline drift detection
INFO No CloudWatch alarms for baseline monitoring
PASS Baseline notification infrastructure: 1 SNS topics for configuration alerts
PASS Enterprise-wide baseline governance: AWS Organizations enables centralized configuration policies
PASS Advanced organization features: SCPs for baseline policy enforcement enabled
Manual Testing:  None</t>
  </si>
  <si>
    <t>Determination:
Automation Results:
PASS Advanced immutable deployment foundation - expand coverage (42%): PASS Immutable infrastructure foundation: 8/8 successful CloudFormation deployments (100%)
WARNING No launch templates for immutable instance deployment
INFO No ECR repositories for container-based immutable deployments
WARNING Lambda functions found but not using versioning for immutability
INFO No Auto Scaling Groups for immutable scaling patterns
INFO No ECS services for container orchestration
INFO No CodeDeploy applications for automated immutable deployments
PASS Immutable deployment infrastructure: 2 target groups enabling blue/green immutable deployments
INFO No Config rules for immutable deployment compliance monitoring
PASS Configuration drift detection: CloudFormation enables immutable infrastructure drift monitoring
PASS Enterprise-wide immutable deployment governance: AWS Organizations enables centralized deployment policies
PASS Advanced organization features: SCPs for immutable deployment policy enforcement enabled
Manual Testing:  None</t>
  </si>
  <si>
    <t>Determination:
Automation Results:
PASS Comprehensive system backups with validated operations aligned with recovery objectives: PASS Backup infrastructure: 1 AWS Backup plans (ec2-backup-plan)
PASS Excellent retention: 90 days (rule: daily-backup)
PASS Regular backup schedule: cron(0 23 * * ? *) (rule: daily-backup)
PASS Full retention compliance: 1/1 rules meet requirements
PASS Recent backup execution validated: Last backup 23.3 hours ago proves active backup operations
PASS RDS backup configuration: 1/1 databases with automated backups
INFO No EBS snapshots (acceptable if using AWS Backup exclusively)
Manual Testing:  None</t>
  </si>
  <si>
    <t>aws s3api list-buckets --output json Get S3 buckets for object storage encryption validation and federal data protection
aws ec2 describe-volumes --output json Check EBS volume encryption status for block storage and instance data protection
aws rds describe-db-instances --output json Validate RDS database encryption for structured data at rest and backup encryption
aws rds describe-db-snapshots --owner-type self --output json Check RDS snapshot encryption for database backup and recovery data protection
aws efs describe-file-systems --output json Check Elastic File System encryption for shared storage and distributed application data
aws backup list-backup-vaults --output json Validate AWS Backup vault encryption for centralized backup data protection and compliance
aws kms list-keys --output json Check KMS key management for enterprise encryption key governance and automated key rotation</t>
  </si>
  <si>
    <t>Determination:
Automation Results:
PASS Advanced at-rest encryption across multiple storage services (45%): PASS Object storage encryption: 2 S3 buckets configured (encryption validation requires bucket-level check)
PASS Block storage encryption: 8/8 EBS volumes encrypted (100%)
PASS Database encryption: 1/1 RDS instances encrypted (100%)
PASS Backup encryption: 2/2 backup vaults encrypted (100%)
PASS Encryption key infrastructure: 12 KMS keys (0 customer-managed, 12 AWS-managed)
INFO Single-account deployment (appropriate for pilot/development)
Manual Testing:  None</t>
  </si>
  <si>
    <t>Determination:
Automation Results:
PASS Cryptographic infrastructure: 12 KMS keys (0 customer-managed, 12 AWS-managed)
PASS Key management governance: 4/21 customer-managed KMS aliases (19%)
PASS Object integrity capability: 2 S3 buckets for versioning and object integrity protection
PASS Database integrity: 1/1 RDS instances with encrypted storage (100%)
INFO Config available but not configured for configuration integrity tracking
PASS Backup integrity: 2/2 encrypted backup vaults (100%)
INFO No CloudWatch alarms for integrity monitoring
PASS Integrity notification infrastructure: 1 SNS topics for integrity event communication
PASS Enterprise-wide integrity governance: AWS Organizations enables centralized cryptographic integrity policies
PASS Advanced organization features: SCPs for cryptographic integrity policy enforcement enabled
Manual Testing:  None</t>
  </si>
  <si>
    <t>Determination:
Automation Results:
PASS Enterprise-grade comprehensive automated key management governance with rotation (90%): PASS Automated key management infrastructure: 12 KMS keys (0 customer-managed, 12 AWS-managed)
PASS Automated certificate management: 2 ACM certificates (2 issued, 0 pending)
PASS Key governance structure: 4/21 customer-managed aliases (19%)
PASS Automated encryption integration: 4 KMS-encrypted SecureString parameters
PASS Automated credential rotation: 1/1 secrets with automatic rotation (100%)
PASS Modern certificate management: No legacy IAM certificates
PASS Infrastructure as Code key management: 8/8 successful CloudFormation stacks (100%)
INFO No Config rules for key management compliance monitoring
PASS Key management audit trail: 4 recent key management events tracked
PASS Enterprise-wide key management governance: AWS Organizations enables centralized key policies
PASS Advanced organization features: SCPs for key management policy enforcement enabled
Manual Testing:  None</t>
  </si>
  <si>
    <t>Determination: Based on the MAS validation requirement, Fortreum determined that Meridian met the requirement. Fortreum analyzed risk assessment documentation for third-party resources and verified Service Control Policy enforcement, confirming that only FedRAMP authorized services are used and any non-authorized resources would be clearly documented with justifications and compensating controls.</t>
  </si>
  <si>
    <t>Determination: Based on the MAS validation requirement, Fortreum determined that Meridian met the requirement. Fortreum reviewed the implementation of federal data tagging through AWS Config rules, verifying that metadata about federal information is properly tracked and included in the assessment scope.</t>
  </si>
  <si>
    <t>Determination: Based on the MAS validation requirement, Fortreum determined that Meridian met the requirement. Fortreum examined the architecture diagram showing clear information flows between components and reviewed system documentation detailing impact levels, confirming comprehensive identification and documentation of all information resource flows and impacts.</t>
  </si>
  <si>
    <t>Determination: Based on the MAS validation requirement, Fortreum determined that Meridian met the requirement. Fortreum reviewed system documentation confirming that Meridian operates as a cloud service offering within FedRAMP scope and is not excluded by OMB directive.</t>
  </si>
  <si>
    <t>Determination: Based on the MAS validation requirement, Fortreum determined that Meridian met the requirement. Fortreum examined the architecture documentation confirming that Meridian operates as a managed service with shared responsibility model rather than standalone software for agency installation.</t>
  </si>
  <si>
    <t>Determination: Based on the MAS validation requirement, Fortreum determined that Meridian met the requirement. Fortreum analyzed the scope documentation verifying that the assessment scope is properly limited to only those information resources that handle federal information or impact its confidentiality, integrity, or availability.</t>
  </si>
  <si>
    <t>Determination: Based on the MAS validation requirement, Fortreum determined that Meridian met the requirement. Fortreum reviewed the system categorization documentation confirming that the low impact level is consistently and appropriately applied across all information resources based on the level of information handled.</t>
  </si>
  <si>
    <t>Determination: Based on the MAS validation requirement, Fortreum determined that Meridian met the requirement. Fortreum examined implementation documentation demonstrating that FedRAMP best practices and technical assistance guidance have been reviewed and applied throughout the system implementation.</t>
  </si>
  <si>
    <t>Determination: Based on the MAS validation requirement, Fortreum determined that this exception rule is not applicable to Meridian. Fortreum confirmed through documentation review that no information resources beyond the minimum assessment scope have been included in the assessment package.</t>
  </si>
  <si>
    <t>Determination: Based on the MAS validation requirement, Fortreum concluded that Meridian met the FRR-MAS-02 requirement. Fortreum reviewed the Software Bill of Materials, documenting all third-party resources and checked AWS Config and CodeCommit tracking systems, confirming that the configuration and use of third-party information resources handling federal data are properly included in the assessment scope.</t>
  </si>
  <si>
    <t>Determination: Based on the MAS validation requirement, Fortreum determined that Meridian met the FRR-MAS-01 requirement. Fortreum reviewed the Meridian architecture diagram and inventory, confirming the comprehensive inclusion of all information resources that handle federal information or impact its confidentiality, integrity, or availability.</t>
  </si>
  <si>
    <t>Architecture Review, Data Flow Analysis, Third-Party Inventory Review, Automation Output</t>
  </si>
  <si>
    <t>Determination: Based on the KSI validation requirement, Fortreum determined that Meridian properly defines its minimum assessment scope. Fortreum reviewed the system architecture diagram, and the inventory showing all resources handling federal information, Software Bill of Materials tracking third-party services, federal data tagging implementation, and clear documentation of information flows between components, confirming comprehensive scope definition.</t>
  </si>
  <si>
    <t>The KSI-CNA testing methods are outlined in the KSI Requirements tab of this workbook. These details specify the Fortreum assessment decisions for this KSI objective.</t>
  </si>
  <si>
    <t>The KSI-SVC testing methods are detailed in the KSI Requirements tab of this workbook. Those details specify the Fortreum assessment decisions related to this KSI objective.</t>
  </si>
  <si>
    <t>The KSI-IAM testing methods are detailed in the KSI Requirements tab of this workbook. These details specify the Fortreum assessment decisions for this KSI objective.</t>
  </si>
  <si>
    <t>The KSI-MLA testing methods are detailed in the KSI Requirements tab of this workbook. These details specify the Fortreum assessment decisions for this KSI objective.</t>
  </si>
  <si>
    <t>The KSI-CMT testing methods are described in the KSI Requirements tab of this workbook. Those details specify the Fortreum assessment decisions for this KSI objective.</t>
  </si>
  <si>
    <t>The KSI-PIY testing methods are outlined in the KSI Requirements tab of this workbook. These details specify the Fortreum assessment decisions for this KSI objective.</t>
  </si>
  <si>
    <t>The KSI-TPR testing methods are described in the KSI Requirements tab of this workbook. Those details explain the Fortreum assessment decisions for this KSI objective.</t>
  </si>
  <si>
    <t>The KSI-CED testing methods are outlined in the KSI Requirements tab of this workbook. Those details specify the Fortreum assessment decisions for this KSI objective.</t>
  </si>
  <si>
    <t>The KSI-RPL testing methods are outlined in the KSI Requirements tab of this workbook. These details specify the Fortreum assessment decisions for this KSI objective.</t>
  </si>
  <si>
    <t>The KSI-INR testing methods are outlined in the KSI Requirements tab of this workbook. Those details describe the Fortreum assessment decisions for this KSI objective.</t>
  </si>
  <si>
    <t>AWS GuardDuty, AWS CloudFront, AWS Systems Manager, AWS Route Tables, AWS WAF, Amazon, EC2 Snapshots, Elastic Load Balancing, IAM Access Analyzer, VPC Network ACLs, VPC Security Groups, AWS VPC Flow Logs, AWS CloudWatch, AWS Lambda, AWS Route 53, AWS Autoscaling, AWS DynamoDB, AWS CodeBuilds, AWS SSM, AWS Backup, AWS Congig
https://meridian-knowledge-solutions.github.io/fedramp_20x_public_submission_live/</t>
  </si>
  <si>
    <t>AWS Organizations, AWS GuardDuty, AWS CloudFront, AWS CloudFormation, AWS Systems Manager, AWS SecretsManager, AWS WAF, Amazon, EC2 Snapshots, Elastic Load Balancing, AWS CloudWatch, AWS CloudTrail,  AWS KMS, AWS ACM, AWS IAM, AWS Config, AWS Inspector, AWS ECR, AWS Lambda
https://meridian-knowledge-solutions.github.io/fedramp_20x_public_submission_live/</t>
  </si>
  <si>
    <t>API Gateway, AWS WAF, AWS WorkSpaces, Active Directory GPO, Amazon Cognito, Command Center KSI-IAM Lambda, S3 Policy Storage
https://meridian-knowledge-solutions.github.io/fedramp_20x_public_submission_live/</t>
  </si>
  <si>
    <t xml:space="preserve">AWS GuardDuty, AWS IAM, AWS SSO, AWS IdentityStore, AWS EC2, AWS CloudWatch, AWS CloudTrail, AWS SecurityHub, AWS Lambda, AWS Config. 
https://meridian-knowledge-solutions.github.io/fedramp_20x_public_submission_live/
</t>
  </si>
  <si>
    <t>AWS Config, AWS CloudWatch, AWS CloudTrail, AWS SSM, AWS Security Hub, Amazon ECR, AWS Config, AWS ELB, AWS Organizations
https://meridian-knowledge-solutions.github.io/fedramp_20x_public_submission_live/</t>
  </si>
  <si>
    <t>AWS CodeCommit, AWS Config, Command Center KSI-PIY Lambda, S3 Document Storage, S3 Documentation, S3 Policy Storage
https://meridian-knowledge-solutions.github.io/fedramp_20x_public_submission_live/</t>
  </si>
  <si>
    <t>AWS Config, AWS Organizations, Command Center KSI-TPR Lambda, Inspector, S3 Monitoring Evidence, S3 Risk Assessment Storage, S3 SBOM Storage, Security Hub
https://meridian-knowledge-solutions.github.io/fedramp_20x_public_submission_live/</t>
  </si>
  <si>
    <t xml:space="preserve">Manual Review KSI-CED-01
- cyber_security_Training.png
- fedramp_role_based.png
- security_training_roster.png
https://meridian-knowledge-solutions.github.io/fedramp_20x_public_submission_live/
</t>
  </si>
  <si>
    <t xml:space="preserve">AWS RDS, AWS Backup, AWS EC2
https://meridian-knowledge-solutions.github.io/fedramp_20x_public_submission_live/
</t>
  </si>
  <si>
    <t>AWS Logs, AWS SecurityHub
https://meridian-knowledge-solutions.github.io/fedramp_20x_public_submission_live/</t>
  </si>
  <si>
    <t xml:space="preserve">Manual </t>
  </si>
  <si>
    <t xml:space="preserve">WARNING Instances registered with SSM but none online
EC2 instances are successfully registered with AWS Systems Manager (SSM), they are currently not in a state where they can be managed or accessed through SSM. This typically means that the instances appear in the Systems Manager console, but they are not actively communicating with the SSM service.  Fortreum views this as a configuration issue and not a risk. </t>
  </si>
  <si>
    <t xml:space="preserve">WARNING Instances registered with SSM but none online
EC2 instances are successfully registered with AWS Systems Manager (SSM), they are currently not in a state where they can be managed or accessed through SSM. This typically means that the instances appear in the Systems Manager console, but they are not actively communicating with the SSM service.  Fortreum views this as a configuration issue and not a risk. 
WARNING No Config rules for infrastructure evaluation
AWS Config is enabled in the MKS account, but there are currently no active Config rules set up to evaluate the compliance of the MKS infrastructure resources. AWS Config is a service that continuously monitors and records your AWS resource configurations and allows you to assess them against desired configurations using rules.  Fortreum recommends that Meridian work to enable the config rules to evaluate the MKS resources. </t>
  </si>
  <si>
    <t xml:space="preserve">WARNING No launch templates for immutable instance deployment
The MKS environment is not using launch templates to manage EC2 instance configurations, which is a recommended best practice for implementing immutable infrastructure.  Fortreum recommends that Meridian work on the CI/CD development flow replacing instances entirely rather modifying them in place.  As the environment is new, this considered to be a maturity of the SDLC practice.
WARNING Lambda functions found but not using versioning for immutability
AWS Lambda functions are deployed without using versioning, which is a key practice for maintaining immutable infrastructure.  Fortreum recommends versioning Lambda functions to mature the development practice. </t>
  </si>
  <si>
    <t xml:space="preserve">WARNING Partial inventory coverage (expand documentation): PASS AWS resource inventory: 73 tagged resources discovered. Fortreum recommends fixing the AWS inventory rule. 
Reviewed the inventory manually. 
WARNING Basic secure development practices (expand documentation): INFO No CodeCommit repositories (may use external source control).
Fortreum recommends maturing the development practice. </t>
  </si>
  <si>
    <t>1. failed_ksi_Report_readable.md (git/validation folder)
2. continuous_ksi_results.json (git/results folder)
3, ksi_rules:KSI-CNA.01.md (docs/ksi_rules)
4. KSI-CNA.01-cli_output.json (KSI-CNA.01)
5. ksi_rules:KSI-CNA.02.md (docs/ksi_rules)
6. KSI-CNA.02-cli_output.json (KSI-CNA.02)
7. ksi_rules:KSI-CNA.03.md (docs/ksi_rules)
8. KSI-CNA.03-cli_output.json (KSI-CNA.03)
9. ksi_rules:KSI-CNA.04.md (docs/ksi_rules)
10. KSI-CNA.04-cli_output.json (KSI-CNA.04)
11. ksi_rules:KSI-CNA.05.md (docs/ksi_rules)
12. KSI-CNA.05-cli_output.json (KSI-CNA.05)
13. ksi_rules:KSI-CNA.06.md (docs/ksi_rules)
14. KSI-CNA.06-cli_output.json (KSI-CNA.06)
15. ksi_rules:KSI-CNA.07.md (docs/ksi_rules)
16. KSI-CNA.07-cli_output.json (KSI-CNA.07)</t>
  </si>
  <si>
    <t>1. failed_ksi_Report_readable.md (git/validation folder)
2. continuous_ksi_results.json (git/results folder)
3. ksi_rules:KSI-SVC.01.md (docs/ksi_rules)
4. KSI-SVC.01-cli_output.json (KSI-SVC.01)
5. ksi_rules:KSI-SVC.02.md (docs/ksi_rules)
6. KSI-SVC.02-cli_output.json (KSI-SVC.02)
7. ksi_rules:KSI-SVC.03.md (docs/ksi_rules)
8. KSI-SVC.03-cli_output.json (KSI-SVC.03)
9. ksi_rules:KSI-SVC.04.md (docs/ksi_rules)
10. KSI-SVC.04-cli_output.json (KSI-SVC.04)
11. ksi_rules:KSI-SVC.05.md (docs/ksi_rules)
12. KSI-SVC.05-cli_output.json (KSI-SVC.05)
13. ksi_rules:KSI-SVC.06.md (docs/ksi_rules)
14. KSI-SVC.06-cli_output.json (KSI-SVC.06)
15. ksi_rules:KSI-SVC.7.md (docs/ksi_rules)
16. KSI-SVC.7-cli_output.json (KSI-SVC.7)</t>
  </si>
  <si>
    <t>1. failed_ksi_Report_readable.md (git/validation folder)
2. continuous_ksi_results.json (git/results folder)
3. ksi_rules:KSI-IAM.01.md (docs/ksi_rules)
4. KSI-IAM.01-cli_output.json (KSI-IAM.01)
5. ksi_rules:KSI-IAM.02.md (docs/ksi_rules)
6. KSI-IAM.02-cli_output.json (KSI-IAM.02)
7. ksi_rules:KSI-IAM.03.md (docs/ksi_rules)
8. KSI-IAM.03-cli_output.json (KSI-IAM.03)
9. ksi_rules:KSI-IAM.04.md (docs/ksi_rules)
10. KSI-IAM.04-cli_output.json (KSI-IAM.04)
11. ksi_rules:KSI-IAM.05.md (docs/ksi_rules)
12. KSI-IAM.05-cli_output.json (KSI-IAM.05)
13. ksi_rules:KSI-IAM.06.md (docs/ksi_rules)
14. KSI-IAM.06-cli_output.json (KSI-IAM.06)</t>
  </si>
  <si>
    <t>1. failed_ksi_Report_readable.md (git/validation folder)
2. continuous_ksi_results.json (git/results folder)
3. ksi_rules:KSI-MLA.01.md (docs/ksi_rules)
4. KSI-MLA.01-cli_output.json (KSI-MLA.01)
5. ksi_rules:KSI-MLA.02.md (docs/ksi_rules)
6. KSI-MLA.02-cli_output.json (KSI-MLA.02)
7. ksi_rules:KSI-MLA.03.md (docs/ksi_rules)
8. KSI-MLA.03-cli_output.json (KSI-MLA.03)
9. ksi_rules:KSI-MLA.04.md (docs/ksi_rules)
10. KSI-MLA.04-cli_output.json (KSI-MLA.04)
11. ksi_rules:KSI-MLA.05.md (docs/ksi_rules)
12. KSI-MLA.05-cli_output.json (KSI-MLA.05)
13. ksi_rules:KSI-MLA.06.md (docs/ksi_rules)
14. KSI-MLA.06-cli_output.json (KSI-MLA.06)</t>
  </si>
  <si>
    <t>1. failed_ksi_Report_readable.md (git/validation folder)
2. continuous_ksi_results.json (git/results folder)
3. ksi_rules:KSI-CMT.01.md (docs/ksi_rules)
4. KSI-CMT.01-cli_output.json (KSI-CMT.01)
5. ksi_rules:KSI-CMT.02.md (docs/ksi_rules)
6. KSI-CMT.02-cli_output.json (KSI-CMT.02)
7. ksi_rules:KSI-CMT.03.md (docs/ksi_rules)
8. KSI-CMT.03-cli_output.json (KSI-CMT.03)
9. ksi_rules:KSI-CMT.04.md (docs/ksi_rules)
10. KSI-CMT.04-cli_output.json (KSI-CMT.04)
11. ksi_rules:KSI-CMT.05.md (docs/ksi_rules)
12. KSI-CMT.05-cli_output.json (KSI-CMT.05)
13. automated_testing_proof.json (KSI-CMT.03)
14. Chedkov_scan_summary.json (KSI-CMT.03)
15. configuration_management_plan (KSI-CMT.04)
16. configuration_management_policy_and_procedures (KSI-CMT.04)
17. weekly_change_management_meeting_final.png (KSI-CMT.04)
18. Change Impact Analysis Template (KSI-CMT-05)
19. Risk Assessment Procedure for Change Management (KSI-CMT-05)</t>
  </si>
  <si>
    <t>1. failed_ksi_Report_readable.md (git/validation folder)
2. continuous_ksi_results.json (git/results folder)
3. ksi_rules:KSI-PIY.01.md (docs/ksi_rules)
4. KSI-PIY.01-cli_output.json (KSI-PIY.01)
5. ksi_rules:KSI-PIY.02.md (docs/ksi_rules)
6. KSI-PIY.02-cli_output.json (KSI-PIY.02)
7. ksi_rules:KSI-PIY.03.md (docs/ksi_rules)
8. KSI-PIY.03-cli_output.json (KSI-PIY.03)
9. ksi_rules:KSI-PIY.04.md (docs/ksi_rules)
10. KSI-PIY.04-cli_output.json (KSI-PIY.04)
11. ksi_rules:KSI-PIY.05.md (docs/ksi_rules)
12. KSI-PIY.05-cli_output.json (KSI-PIY.05)
13. ksi_rules:KSI-PIY.06.md (docs/ksi_rules)
14. KSI-PIY.06-cli_output.json (KSI-PIY.06)
15. ksi_rules:KSI-PIY.7.md (docs/ksi_rules)
16. KSI-PIY.7-cli_output.json (KSI-PIY.7)
17. data_classification_handling_policy (KSI-PIY.02)
18. personnel_security_policy (KSI-PIY.02)
19. security_policy_collection_repository.zip (KSI-PIY.02)
20. Information Resource Evaluation Methodology (KSI-PIY-05)
21. security_budget_allocation_and_roles (KSI-PIY.06)
22. Software Supply Chain Risk Management Framework (KSI-PIY-07)
23. Inspected weekly_change_management_meeting_final.png</t>
  </si>
  <si>
    <t>1. failed_ksi_Report_readable.md (git/validation folder)
2. continuous_ksi_results.json (git/results folder)
3. ksi_rules:KSI-TPR.01.md (docs/ksi_rules)
4. KSI-TPR.01-cli_output.json (KSI-TPR.01)
5. ksi_rules:KSI-TPR.02.md (docs/ksi_rules)
6. KSI-TPR.02-cli_output.json (KSI-TPR.02)
7. ksi_rules:KSI-TPR.03.md (docs/ksi_rules)
8. KSI-TPR.03-cli_output.json (KSI-TPR.03)
9. ksi_rules:KSI-TPR.04.md (docs/ksi_rules)
10. KSI-TPR.04-cli_output.json (KSI-TPR.04)
11. FedRAMP_Low_Boundary_Diagram.pdf (KSI-TPR.02)
12. Federal Information Mapping - Meridian LMS.pdf(KSI-TPR.02)
13. Inspected Software Supply Chain Risk Management Framework (KSI-PIY-07)</t>
  </si>
  <si>
    <t>1. https://github.com/Meridian-Knowledge-Solutions/fedramp-20x-submission-final/tree/main/evidence_v2/KSI-CED-01
- cyber_security_Training.png
- fedramp_role_based.png
- security_training_roster.png
2. ksi_rules: KSI-CED.01.md (docs/ksi_rules)
3. Examined training records for Adam Bell, Adam Burroughs, Adrianna Bennett, Aubrey Zuro, Gabriel Crockett, Jake Silvers, James Hetzel, James Morris, Kirk Weir, Linda Sung, Quin Crease, Samuel Mbah, and Scott VanSooy.</t>
  </si>
  <si>
    <t>Examined:
1. Incident Reponse Policy and Procedures (KSI-INR-01)
2. Contingency Planning Policy (KSI-INR-01)
3. IR.zip containing combined_tabletop_test_report_template,
contingency_plan, contingency_plan_test_report_example, contingency_test_plan, quick_reference_irp_guide (KSI-INR-01)
4. ksi_rules: KSI-INR.01.md (docs/ksi_rules)
Tested:
1. Inspected the Combined Tabletop Test Report (KSI-INR-01)
2. Validated After Action Report and Lessons Learned (KSI-INR-03)
3. Inspected the automation output cli_output.json for documentation (KSI-INR-01)
4. Inspected the automation output cli_output.json for automation of the After Action Report (KSI-INR-03)
5. Inspected the Incident Tracking and Pattern Analysis System KSI-INR-02)</t>
  </si>
  <si>
    <t>1. failed_ksi_Report_readable.md (git/validation folder)
2. continuous_ksi_results.json (git/results folder)
3. ksi_rules:KSI-INC.01.md (docs/ksi_rules)
4. KSI-INC.01-cli_output.json (KSI-INC.01)
5. ksi_rules:KSI-INC.02.md (docs/ksi_rules)
6. KSI-INC.02-cli_output.json (KSI-INC.02)
7. ksi_rules:KSI-INC.03.md (docs/ksi_rules)
8. KSI-INC.03-cli_output.json (KSI-INC.03)
9. ksi_rules:KSI-INC.04.md (docs/ksi_rules)
10. contingency plan test report (KSI-INC-04)
11. Combined Tabletop Test Report (KSI-INC-01)
12. After Action Report and Lessons Learned (KSI-INR-03)
13. Incident Tracking and Pattern Analysis System KSI-INR-02)</t>
  </si>
  <si>
    <t>1. failed_ksi_Report_readable.md (git/validation folder)
2. continuous_ksi_results.json (git/results folder)
3. ksi_rules:KSI-RPL.01.md (docs/ksi_rules)
4. KSI-RPL.01-cli_output.json (KSI-RPL.01)
5. ksi_rules:KSI-RPL.02.md (docs/ksi_rules)
6. KSI-RPL.02-cli_output.json (KSI-RPL.02)
7. ksi_rules:KSI-RPL.03.md (docs/ksi_rules)
8. KSI-RPL.03-cli_output.json (KSI-RPL.03)
9. ksi_rules:KSI-RPL.04.md (docs/ksi_rules)
10. contingency plan test report (KSI-RPL-04)
11, Contingency Plan (KSI-RPL-01)
12. Combined Tabletop Test Report (KSI-RPL-01)
13. RTO RPO Definitions (KSI-RPL-01)
14. contingency plan test report (KSI-RPL-04)</t>
  </si>
  <si>
    <t xml:space="preserve">Determination: Based on the comprehensive automation results across multiple categories, the environment demonstrates a strong adherence to AWS best practices and security principles. The infrastructure exhibits robust multi-layer traffic controls, effective ingress restrictions, and well-managed egress through NAT gateways and VPC endpoints. Logical networking is intentionally designed with advanced routing, segmentation, and traffic flow monitoring. The architecture minimizes attack surfaces and lateral movement through private subnets, custom security groups, and isolated services. High availability is ensured via multi-AZ deployments, resilient DNS, and backup strategies. The environment is fully managed through Terraform, promoting immutability and consistency, and includes comprehensive DoS protection with AWS Shield and WAF. Governance and compliance are well-supported with CloudTrail, KMS encryption, IAM best practices, and AWS Config readiness. Overall, the environment is well-architected, secure, resilient, and operationally mature, making it suitable for production-grade workloads or pilot deployments with minimal risk.
</t>
  </si>
  <si>
    <t>Determination: Meridian has a production-ready security posture across multiple domains, with strong system hardening, encryption, and governance. It features multi-layer defenses like security groups, centralized patch management, and threat detection. Encryption covers storage, databases, backups, and communication, supported by automated certificate management via AWS KMS and ACM. Configuration management uses AWS SSM, CloudFormation, and centralized secrets. Governance is enforced through AWS Organizations and SCPs, ensuring consistency. Some areas like real-time monitoring and vulnerability patching could improve, but the environment is secure, scalable, and compliant.</t>
  </si>
  <si>
    <t>Determination: Meridian reflects a secure and modern identity and access management framework. It uses IAM Identity Center with full Okta federation, enforcing passwordless authentication and upstream MFA. The Okta version is phishing-resistant.  Access is tightly controlled through role-based permission sets and temporary credentials. Traditional IAM usage is minimal and limited to service accounts. Security is further enhanced with GuardDuty, Security Hub, and automated response via EventBridge and Lambda. These controls support zero trust principles and ensure strong identity governance, authentication, and automated security enforcement across services.</t>
  </si>
  <si>
    <t>Determination: Meridian demonstrates strong configuration management practices. CloudFormation and SSM enforce consistent infrastructure and parameter baselines, while AWS Config records system changes. CloudTrail and SNS support change tracking and alerting. Immutable deployment is partially implemented, with room to expand coverage. Centralized governance via AWS Organizations and SCPs ensures policy enforcement across accounts.</t>
  </si>
  <si>
    <t>Determination: Based on the KSI validation requirement, Fortreum determined that Meridian maintains a documented but partially automated approach to inventory, policy, and secure development. A tagged AWS resource inventory is supported by manual records, while security policies, SDLC procedures, and supply chain risk management are well-documented. Vulnerability disclosure and evaluation processes are in place, though integration with automated pipelines and source control is limited. Expanding automation and inventory coverage will enhance visibility, governance, and incident response.</t>
  </si>
  <si>
    <t>Determination: Based on the KSI validation requirement, Fortreum determined that Meridian demonstrates a structured approach to managing third-party and supply chain risks, with documented inventories and monitoring practices in place. A partial third-party inventory is supported by artifacts such as third_party_inventory.xlsx and sbom_including_elastic.json, although coverage should be expanded. FedRAMP authorization and secure configuration of federal data services are tracked through manual reviews and supporting documentation.
Supply chain risk assessments, vendor attestations, and vulnerability monitoring are documented and actively maintained. Inspector findings confirm that contracts and notification agreements support the detection of third-party component vulnerabilities and upstream monitoring. While automation is limited, the foundation for secure third-party management is established, with opportunities to enhance visibility and integration.</t>
  </si>
  <si>
    <t>Determination: Based on the KSI validation requirement, Fortreum determined that Meridian met the Cybersecurity Education requirement.</t>
  </si>
  <si>
    <t>Determination: Based on the KSI validation requirement, Fortreum determined that Meridian has a well-documented and technically validated approach to recovery planning, and resilience is necessary. RTO and RPO objectives are clearly defined and aligned with business impact analysis, supported by validated infrastructure configurations and backup plans. 
Recovery plans—including disaster recovery, incident response, and business continuity—are documented, maintained, and tested through tabletop exercises and restore operations. Testing results and lessons learned are reviewed to improve readiness. While some areas could benefit from deeper automation, the environment meets core recovery objectives and supports operational continuity through structured planning, regular testing, and validated backup infrastructure.</t>
  </si>
  <si>
    <t>Determination: Based on the KSI validation requirement, Fortreum determined that Meridian established a structured and policy-driven incident response program aligned with FedRAMP requirements. Incident reporting procedures are documented, including timelines, roles, and communication protocols, and are supported by tabletop exercises and after-action reports. Security incidents are logged and reviewed regularly, with pattern analysis and trend reports informing continuous improvement.
Security Hub insights support incident tracking and log group configurations. After-action reports and lessons learned are maintained, although integration into operational updates could be strengthened. Overall, the environment supports effective incident detection, reporting, and response, with opportunities to enhance automation and operational feedback loops.</t>
  </si>
  <si>
    <t>Meridian Knowledge Systems MKS</t>
  </si>
  <si>
    <t>Meridian Knowledge Systems</t>
  </si>
  <si>
    <t>MKS</t>
  </si>
  <si>
    <t>All KSI, and All MAS Requirements</t>
  </si>
  <si>
    <t xml:space="preserve">Partial </t>
  </si>
  <si>
    <t>PARTIAL</t>
  </si>
  <si>
    <t>Determination: Meridian demonstrates strong monitoring and logging capabilities aligned with enterprise security standards. CloudTrail and AWS Config provide audit and configuration tracking, while centralized log collection spans multiple services and applications with defined retention policies. Security Hub and Inspector enable advanced threat and vulnerability detection, supported by automated findings, insights, and remediation workflows. SNS topics and EventBridge rules facilitate alerting and response, though some areas like CloudWatch alarms and automated pipelines could be expanded. Overall, the environment supports effective SIEM operations, vulnerability management, and compliance monitoring across accounts.</t>
  </si>
  <si>
    <t>Automated Json
md descrtiptions files</t>
  </si>
  <si>
    <t>Training Screenshots
Training Records</t>
  </si>
  <si>
    <t>Automated Json
md descrtiptions files
CP Reports</t>
  </si>
  <si>
    <t>Automated Json
md descrtiptions files
IR Reports</t>
  </si>
  <si>
    <t>Automated Json
md descrtiptions files
ABD Diagram
SR Report
LMS Report</t>
  </si>
  <si>
    <t>Automated Json
md descrtiptions files
Policu and Procedures
SBOM
SR Framework
CCB Meetings</t>
  </si>
  <si>
    <t xml:space="preserve">Automated Json
md descrtiptions files
CM Policies &amp; Procedures
CM Plan
Impact Analysis
</t>
  </si>
  <si>
    <t>(KSI-CNA.**)</t>
  </si>
  <si>
    <t>(KSI-SVC.**)</t>
  </si>
  <si>
    <t>(KSI-IAM.**)</t>
  </si>
  <si>
    <t>(KSI-CMT.**)</t>
  </si>
  <si>
    <t>(KSI-MLA**)</t>
  </si>
  <si>
    <t>(KSI-PIY.**)</t>
  </si>
  <si>
    <t>(KSI-TPR.**)</t>
  </si>
  <si>
    <t>(KSI-CED.**)</t>
  </si>
  <si>
    <t>(KSI-RPL.**)</t>
  </si>
  <si>
    <t>(KSI-INR.**)</t>
  </si>
  <si>
    <t>Warning</t>
  </si>
  <si>
    <t>MLA-W01</t>
  </si>
  <si>
    <t>CMT-W01</t>
  </si>
  <si>
    <t>PIY-W01</t>
  </si>
  <si>
    <t>SSM Agents Not Connected</t>
  </si>
  <si>
    <t>SVC-W01
MLA-W01</t>
  </si>
  <si>
    <t xml:space="preserve">WARNING No Config rules for infrastructure evaluation
AWS Config is enabled in the MKS account, but there are currently no active Config rules set up to evaluate the compliance of the MKS infrastructure resources. AWS Config is a service that continuously monitors and records your AWS resource configurations and allows you to assess them against desired configurations using rules.  Fortreum recommends that Meridian work to enable the config rules to evaluate the MKS resources. </t>
  </si>
  <si>
    <t>AWS Config</t>
  </si>
  <si>
    <t>MKS Envrionment</t>
  </si>
  <si>
    <t xml:space="preserve">Inventory Automation </t>
  </si>
  <si>
    <t>Open</t>
  </si>
  <si>
    <t>CMT-W02</t>
  </si>
  <si>
    <t xml:space="preserve">WARNING Lambda functions found but not using versioning for immutability
AWS Lambda functions are deployed without using versioning, which is a key practice for maintaining immutable infrastructure.  Fortreum recommends versioning Lambda functions to mature the development practice. </t>
  </si>
  <si>
    <t>Lambda Functions</t>
  </si>
  <si>
    <t xml:space="preserve">WARNING No launch templates for immutable instance deployment
The MKS environment is not using launch templates to manage EC2 instance configurations, which is a recommended best practice for implementing immutable infrastructure.  Fortreum recommends that Meridian work on the CI/CD development flow replacing instances entirely rather modifying them in place.  As the environment is new, this considered to be a maturity of the SDLC practice.
</t>
  </si>
  <si>
    <t>Total Requirements</t>
  </si>
  <si>
    <t>Requirements Met</t>
  </si>
  <si>
    <t>Requirements Partially Met</t>
  </si>
  <si>
    <t>Requirements Not Met</t>
  </si>
  <si>
    <t>KSIs Met:</t>
  </si>
  <si>
    <t>KSIs Partially Met:</t>
  </si>
  <si>
    <t>KSIs Not Met:</t>
  </si>
  <si>
    <t xml:space="preserve">continuous_ksi_results.json (git/results folder)
https://meridian-knowledge-solutions.github.io/fedramp_20x_public_submission_live/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</si>
</sst>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2F5496"/>
      <name val="Calibri"/>
      <family val="2"/>
      <scheme val="minor"/>
    </font>
    <font>
      <sz val="14"/>
      <color rgb="FF5B9BD5"/>
      <name val="Calibri"/>
      <family val="2"/>
      <scheme val="minor"/>
    </font>
    <font>
      <b/>
      <sz val="12"/>
      <color theme="1"/>
      <name val="Calibri"/>
      <family val="2"/>
      <scheme val="minor"/>
    </font>
    <font>
      <b/>
      <sz val="10"/>
      <color rgb="FFFFFFFF"/>
      <name val="Calibri"/>
      <family val="2"/>
      <scheme val="minor"/>
    </font>
    <font>
      <sz val="10"/>
      <color theme="1"/>
      <name val="Calibri"/>
      <family val="2"/>
      <scheme val="minor"/>
    </font>
    <font>
      <b/>
      <sz val="11"/>
      <color rgb="FFFFFFFF"/>
      <name val="Calibri"/>
      <family val="2"/>
      <scheme val="minor"/>
    </font>
    <font>
      <b/>
      <sz val="10"/>
      <color theme="1"/>
      <name val="Calibri"/>
      <family val="2"/>
      <scheme val="minor"/>
    </font>
    <font>
      <sz val="10"/>
      <color rgb="FF444444"/>
      <name val="Calibri"/>
      <family val="2"/>
    </font>
    <font>
      <sz val="10"/>
      <name val="Calibri"/>
      <family val="2"/>
      <scheme val="minor"/>
    </font>
    <font>
      <sz val="10"/>
      <color rgb="FF424242"/>
      <name val="Calibri"/>
      <family val="2"/>
      <scheme val="minor"/>
    </font>
  </fonts>
  <fills count="7">
    <fill>
      <patternFill patternType="none"/>
    </fill>
    <fill>
      <patternFill patternType="gray125"/>
    </fill>
    <fill>
      <patternFill patternType="solid">
        <fgColor rgb="FFD9E2F3"/>
        <bgColor indexed="64"/>
      </patternFill>
    </fill>
    <fill>
      <patternFill patternType="solid">
        <fgColor rgb="FF5B9BD5"/>
        <bgColor indexed="64"/>
      </patternFill>
    </fill>
    <fill>
      <patternFill patternType="solid">
        <fgColor rgb="FF2F5496"/>
        <bgColor indexed="64"/>
      </patternFill>
    </fill>
    <fill>
      <patternFill patternType="solid">
        <fgColor rgb="FFC6EFCC"/>
        <bgColor indexed="64"/>
      </patternFill>
    </fill>
    <fill>
      <patternFill patternType="solid">
        <fgColor rgb="FFFFFF99"/>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4" fillId="3" borderId="1" xfId="0" applyFont="1" applyFill="1" applyBorder="1" applyAlignment="1">
      <alignment horizontal="left" vertical="center"/>
    </xf>
    <xf numFmtId="0" fontId="5" fillId="0" borderId="1" xfId="0" applyFont="1" applyBorder="1" applyAlignment="1">
      <alignment vertical="top"/>
    </xf>
    <xf numFmtId="0" fontId="5" fillId="0" borderId="1" xfId="0" applyFont="1" applyBorder="1" applyAlignment="1">
      <alignment vertical="top" wrapText="1"/>
    </xf>
    <xf numFmtId="0" fontId="6" fillId="4" borderId="1" xfId="0" applyFont="1" applyFill="1" applyBorder="1" applyAlignment="1">
      <alignment horizontal="center" vertical="center"/>
    </xf>
    <xf numFmtId="0" fontId="7" fillId="0" borderId="0" xfId="0" applyFont="1" applyAlignment="1">
      <alignment vertical="top"/>
    </xf>
    <xf numFmtId="0" fontId="5" fillId="0" borderId="1" xfId="0" applyFont="1" applyBorder="1" applyAlignment="1">
      <alignment horizontal="center" vertical="center" wrapText="1"/>
    </xf>
    <xf numFmtId="0" fontId="5" fillId="0" borderId="1" xfId="0" applyFont="1" applyBorder="1" applyAlignment="1">
      <alignment wrapText="1"/>
    </xf>
    <xf numFmtId="0" fontId="5" fillId="0" borderId="1" xfId="0" applyFont="1" applyBorder="1" applyAlignment="1">
      <alignment horizontal="left" vertical="top" wrapText="1"/>
    </xf>
    <xf numFmtId="0" fontId="0" fillId="0" borderId="0" xfId="0" applyAlignment="1">
      <alignment horizontal="left" vertical="top"/>
    </xf>
    <xf numFmtId="0" fontId="8" fillId="0" borderId="1" xfId="0" applyFont="1" applyBorder="1" applyAlignment="1">
      <alignment horizontal="left" vertical="top" wrapText="1"/>
    </xf>
    <xf numFmtId="0" fontId="0" fillId="0" borderId="1" xfId="0" applyBorder="1" applyAlignment="1">
      <alignment horizontal="center" vertical="center"/>
    </xf>
    <xf numFmtId="0" fontId="9" fillId="0" borderId="1" xfId="0" applyFont="1" applyBorder="1" applyAlignment="1">
      <alignment vertical="top" wrapText="1"/>
    </xf>
    <xf numFmtId="0" fontId="10" fillId="0" borderId="0" xfId="0" applyFont="1" applyAlignment="1">
      <alignment horizontal="left" vertical="top" wrapText="1"/>
    </xf>
    <xf numFmtId="0" fontId="5" fillId="0" borderId="1" xfId="0" applyFont="1" applyBorder="1" applyAlignment="1">
      <alignment horizontal="center" vertical="center"/>
    </xf>
    <xf numFmtId="9" fontId="9" fillId="0" borderId="1" xfId="0" applyNumberFormat="1"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0" fillId="5" borderId="1" xfId="0" applyFill="1" applyBorder="1" applyAlignment="1">
      <alignment horizontal="center" vertical="center"/>
    </xf>
    <xf numFmtId="0" fontId="8" fillId="6"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 fillId="0" borderId="0" xfId="0" applyFont="1"/>
    <xf numFmtId="0" fontId="2" fillId="0" borderId="0" xfId="0" applyFont="1"/>
    <xf numFmtId="0" fontId="3" fillId="2" borderId="1" xfId="0" applyFont="1" applyFill="1" applyBorder="1"/>
    <xf numFmtId="0" fontId="5" fillId="0" borderId="1" xfId="0" applyFont="1" applyBorder="1" applyAlignment="1">
      <alignment vertical="top"/>
    </xf>
    <xf numFmtId="0" fontId="5" fillId="0" borderId="1" xfId="0" applyFont="1" applyBorder="1" applyAlignment="1">
      <alignment vertical="top" wrapText="1"/>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9" fillId="0" borderId="1" xfId="0" applyFont="1" applyBorder="1" applyAlignment="1">
      <alignment horizontal="center" vertical="center"/>
    </xf>
    <xf numFmtId="10" fontId="9" fillId="0" borderId="1" xfId="0" applyNumberFormat="1" applyFont="1" applyBorder="1" applyAlignment="1">
      <alignment horizontal="center" vertical="center"/>
    </xf>
    <xf numFmtId="0" fontId="4" fillId="3" borderId="1" xfId="0" applyFont="1" applyFill="1" applyBorder="1" applyAlignment="1">
      <alignment horizontal="left" vertical="center"/>
    </xf>
    <xf numFmtId="0" fontId="5" fillId="0" borderId="1" xfId="0" applyFont="1" applyFill="1" applyBorder="1" applyAlignment="1">
      <alignment vertical="top"/>
    </xf>
    <xf numFmtId="0" fontId="9" fillId="5" borderId="1" xfId="0" applyFont="1" applyFill="1" applyBorder="1" applyAlignment="1">
      <alignment horizontal="center" vertical="center" wrapText="1"/>
    </xf>
    <xf numFmtId="10" fontId="9" fillId="5" borderId="1" xfId="0" applyNumberFormat="1" applyFont="1" applyFill="1" applyBorder="1" applyAlignment="1">
      <alignment horizontal="center" vertical="center" wrapText="1"/>
    </xf>
  </cellXfs>
  <cellStyles count="1">
    <cellStyle name="Normal" xfId="0" builtinId="0"/>
  </cellStyles>
  <dxfs count="60">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C6EFCC"/>
      <color rgb="FFFFFF99"/>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meridian-knowledge-solutions.github.io/fedramp_20x_public_submission_l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workbookViewId="0">
      <selection activeCell="A32" sqref="A32:D32"/>
    </sheetView>
  </sheetViews>
  <sheetFormatPr defaultRowHeight="15" x14ac:dyDescent="0.25"/>
  <cols>
    <col min="1" max="1" width="15.7109375" customWidth="1"/>
    <col min="2" max="2" width="40.7109375" customWidth="1"/>
    <col min="3" max="3" width="20.7109375" customWidth="1"/>
    <col min="4" max="6" width="25.7109375" customWidth="1"/>
    <col min="7" max="7" width="20.7109375" customWidth="1"/>
    <col min="8" max="8" width="25.7109375" customWidth="1"/>
    <col min="9" max="9" width="20.7109375" customWidth="1"/>
  </cols>
  <sheetData>
    <row r="1" spans="1:9" ht="24.95" customHeight="1" x14ac:dyDescent="0.35">
      <c r="A1" s="22" t="s">
        <v>0</v>
      </c>
      <c r="B1" s="22"/>
      <c r="C1" s="22"/>
      <c r="D1" s="22"/>
      <c r="E1" s="22"/>
      <c r="F1" s="22"/>
      <c r="G1" s="22"/>
      <c r="H1" s="22"/>
      <c r="I1" s="22"/>
    </row>
    <row r="2" spans="1:9" ht="20.100000000000001" customHeight="1" x14ac:dyDescent="0.3">
      <c r="A2" s="23" t="s">
        <v>471</v>
      </c>
      <c r="B2" s="23"/>
      <c r="C2" s="23"/>
      <c r="D2" s="23"/>
      <c r="E2" s="23"/>
      <c r="F2" s="23"/>
      <c r="G2" s="23"/>
      <c r="H2" s="23"/>
      <c r="I2" s="23"/>
    </row>
    <row r="3" spans="1:9" ht="20.100000000000001" customHeight="1" x14ac:dyDescent="0.25"/>
    <row r="5" spans="1:9" ht="15.75" x14ac:dyDescent="0.25">
      <c r="A5" s="24" t="s">
        <v>1</v>
      </c>
      <c r="B5" s="24"/>
      <c r="C5" s="24"/>
      <c r="D5" s="24"/>
      <c r="E5" s="24"/>
      <c r="F5" s="24"/>
      <c r="G5" s="24"/>
      <c r="H5" s="24"/>
      <c r="I5" s="24"/>
    </row>
    <row r="6" spans="1:9" x14ac:dyDescent="0.25">
      <c r="A6" s="1" t="s">
        <v>2</v>
      </c>
      <c r="B6" s="25" t="s">
        <v>3</v>
      </c>
      <c r="C6" s="25"/>
      <c r="D6" s="25"/>
      <c r="E6" s="1" t="s">
        <v>4</v>
      </c>
      <c r="F6" s="25" t="s">
        <v>5</v>
      </c>
      <c r="G6" s="25"/>
      <c r="H6" s="25"/>
      <c r="I6" s="25"/>
    </row>
    <row r="7" spans="1:9" x14ac:dyDescent="0.25">
      <c r="A7" s="1" t="s">
        <v>6</v>
      </c>
      <c r="B7" s="25" t="s">
        <v>472</v>
      </c>
      <c r="C7" s="25"/>
      <c r="D7" s="25"/>
      <c r="E7" s="1" t="s">
        <v>7</v>
      </c>
      <c r="F7" s="25" t="s">
        <v>473</v>
      </c>
      <c r="G7" s="25"/>
      <c r="H7" s="25"/>
      <c r="I7" s="25"/>
    </row>
    <row r="8" spans="1:9" x14ac:dyDescent="0.25">
      <c r="A8" s="1" t="s">
        <v>8</v>
      </c>
      <c r="B8" s="25" t="s">
        <v>9</v>
      </c>
      <c r="C8" s="25"/>
      <c r="D8" s="25"/>
      <c r="E8" s="1" t="s">
        <v>10</v>
      </c>
      <c r="F8" s="25" t="s">
        <v>474</v>
      </c>
      <c r="G8" s="25"/>
      <c r="H8" s="25"/>
      <c r="I8" s="25"/>
    </row>
    <row r="10" spans="1:9" ht="15.75" x14ac:dyDescent="0.25">
      <c r="A10" s="24" t="s">
        <v>11</v>
      </c>
      <c r="B10" s="24"/>
      <c r="C10" s="24"/>
      <c r="D10" s="24"/>
      <c r="E10" s="24"/>
      <c r="F10" s="24"/>
      <c r="G10" s="24"/>
      <c r="H10" s="24"/>
      <c r="I10" s="24"/>
    </row>
    <row r="11" spans="1:9" ht="39.950000000000003" customHeight="1" x14ac:dyDescent="0.25">
      <c r="A11" s="26" t="s">
        <v>12</v>
      </c>
      <c r="B11" s="26"/>
      <c r="C11" s="26"/>
      <c r="D11" s="26"/>
      <c r="E11" s="26"/>
      <c r="F11" s="26"/>
      <c r="G11" s="26"/>
      <c r="H11" s="26"/>
      <c r="I11" s="26"/>
    </row>
    <row r="12" spans="1:9" x14ac:dyDescent="0.25">
      <c r="A12" s="26" t="s">
        <v>13</v>
      </c>
      <c r="B12" s="26"/>
      <c r="C12" s="26"/>
      <c r="D12" s="26"/>
      <c r="E12" s="26"/>
      <c r="F12" s="26"/>
      <c r="G12" s="26"/>
      <c r="H12" s="26"/>
      <c r="I12" s="26"/>
    </row>
    <row r="13" spans="1:9" ht="17.100000000000001" customHeight="1" x14ac:dyDescent="0.25">
      <c r="A13" s="26" t="s">
        <v>14</v>
      </c>
      <c r="B13" s="26"/>
      <c r="C13" s="26"/>
      <c r="D13" s="26"/>
      <c r="E13" s="26"/>
      <c r="F13" s="26"/>
      <c r="G13" s="26"/>
      <c r="H13" s="26"/>
      <c r="I13" s="26"/>
    </row>
    <row r="14" spans="1:9" x14ac:dyDescent="0.25">
      <c r="A14" s="26" t="s">
        <v>15</v>
      </c>
      <c r="B14" s="26"/>
      <c r="C14" s="26"/>
      <c r="D14" s="26"/>
      <c r="E14" s="26"/>
      <c r="F14" s="26"/>
      <c r="G14" s="26"/>
      <c r="H14" s="26"/>
      <c r="I14" s="26"/>
    </row>
    <row r="15" spans="1:9" x14ac:dyDescent="0.25">
      <c r="A15" s="26" t="s">
        <v>16</v>
      </c>
      <c r="B15" s="26"/>
      <c r="C15" s="26"/>
      <c r="D15" s="26"/>
      <c r="E15" s="26"/>
      <c r="F15" s="26"/>
      <c r="G15" s="26"/>
      <c r="H15" s="26"/>
      <c r="I15" s="26"/>
    </row>
    <row r="16" spans="1:9" ht="33" customHeight="1" x14ac:dyDescent="0.25">
      <c r="A16" s="26" t="s">
        <v>17</v>
      </c>
      <c r="B16" s="26"/>
      <c r="C16" s="26"/>
      <c r="D16" s="26"/>
      <c r="E16" s="26"/>
      <c r="F16" s="26"/>
      <c r="G16" s="26"/>
      <c r="H16" s="26"/>
      <c r="I16" s="26"/>
    </row>
    <row r="18" spans="1:9" ht="15.75" x14ac:dyDescent="0.25">
      <c r="A18" s="24" t="s">
        <v>18</v>
      </c>
      <c r="B18" s="24"/>
      <c r="C18" s="24"/>
      <c r="D18" s="24"/>
      <c r="E18" s="24"/>
      <c r="F18" s="24"/>
      <c r="G18" s="24"/>
      <c r="H18" s="24"/>
      <c r="I18" s="24"/>
    </row>
    <row r="19" spans="1:9" x14ac:dyDescent="0.25">
      <c r="A19" s="4" t="s">
        <v>19</v>
      </c>
      <c r="B19" s="4" t="s">
        <v>20</v>
      </c>
      <c r="C19" s="4" t="s">
        <v>510</v>
      </c>
      <c r="D19" s="4" t="s">
        <v>511</v>
      </c>
      <c r="E19" s="4" t="s">
        <v>512</v>
      </c>
      <c r="F19" s="4" t="s">
        <v>513</v>
      </c>
      <c r="G19" s="4" t="s">
        <v>21</v>
      </c>
      <c r="H19" s="4" t="s">
        <v>22</v>
      </c>
      <c r="I19" s="4" t="s">
        <v>23</v>
      </c>
    </row>
    <row r="20" spans="1:9" x14ac:dyDescent="0.25">
      <c r="A20" s="2" t="s">
        <v>24</v>
      </c>
      <c r="B20" s="2" t="s">
        <v>25</v>
      </c>
      <c r="C20" s="14">
        <f>COUNTIFS('KSI Requirements'!A:A,"KSI-CNA")</f>
        <v>7</v>
      </c>
      <c r="D20" s="14">
        <f>COUNTIFS('KSI Requirements'!A:A,"KSI-CNA", 'KSI Requirements'!H:H, TRUE)</f>
        <v>5</v>
      </c>
      <c r="E20" s="14">
        <f>COUNTIFS('KSI Requirements'!A:A,"KSI-CNA", 'KSI Requirements'!H:H, "PARTIAL")</f>
        <v>2</v>
      </c>
      <c r="F20" s="14">
        <f>COUNTIFS('KSI Requirements'!A:A,"KSI-CNA", 'KSI Requirements'!H:H, FALSE)</f>
        <v>0</v>
      </c>
      <c r="G20" s="15">
        <v>0.93</v>
      </c>
      <c r="H20" s="32" t="str">
        <f>'KSI Assessment Details'!H4</f>
        <v>Fully Automated</v>
      </c>
      <c r="I20" s="2" t="s">
        <v>27</v>
      </c>
    </row>
    <row r="21" spans="1:9" x14ac:dyDescent="0.25">
      <c r="A21" s="2" t="s">
        <v>28</v>
      </c>
      <c r="B21" s="2" t="s">
        <v>29</v>
      </c>
      <c r="C21" s="14">
        <f>COUNTIFS('KSI Requirements'!A:A,"KSI-SVC")</f>
        <v>7</v>
      </c>
      <c r="D21" s="14">
        <f>COUNTIFS('KSI Requirements'!A:A,"KSI-SVC", 'KSI Requirements'!H:H, TRUE)</f>
        <v>7</v>
      </c>
      <c r="E21" s="14">
        <f>COUNTIFS('KSI Requirements'!A:A,"KSI-SVC", 'KSI Requirements'!H:H, "PARTIAL")</f>
        <v>0</v>
      </c>
      <c r="F21" s="14">
        <f>COUNTIFS('KSI Requirements'!A:A,"KSI-SVC", 'KSI Requirements'!H:H, FALSE)</f>
        <v>0</v>
      </c>
      <c r="G21" s="15">
        <v>0.78</v>
      </c>
      <c r="H21" s="32" t="str">
        <f>'KSI Assessment Details'!H5</f>
        <v>Fully Automated</v>
      </c>
      <c r="I21" s="2" t="s">
        <v>475</v>
      </c>
    </row>
    <row r="22" spans="1:9" x14ac:dyDescent="0.25">
      <c r="A22" s="2" t="s">
        <v>30</v>
      </c>
      <c r="B22" s="2" t="s">
        <v>31</v>
      </c>
      <c r="C22" s="14">
        <f>COUNTIFS('KSI Requirements'!A:A,"KSI-IAM")</f>
        <v>6</v>
      </c>
      <c r="D22" s="14">
        <f>COUNTIFS('KSI Requirements'!A:A,"KSI-IAM", 'KSI Requirements'!H:H, TRUE)</f>
        <v>6</v>
      </c>
      <c r="E22" s="14">
        <f>COUNTIFS('KSI Requirements'!A:A,"KSI-IAM", 'KSI Requirements'!H:H, "PARTIAL")</f>
        <v>0</v>
      </c>
      <c r="F22" s="14">
        <f>COUNTIFS('KSI Requirements'!A:A,"KSI-IAM", 'KSI Requirements'!H:H, FALSE)</f>
        <v>0</v>
      </c>
      <c r="G22" s="15">
        <v>1</v>
      </c>
      <c r="H22" s="32" t="str">
        <f>'KSI Assessment Details'!H6</f>
        <v>Fully Automated</v>
      </c>
      <c r="I22" s="2" t="s">
        <v>27</v>
      </c>
    </row>
    <row r="23" spans="1:9" x14ac:dyDescent="0.25">
      <c r="A23" s="2" t="s">
        <v>32</v>
      </c>
      <c r="B23" s="2" t="s">
        <v>33</v>
      </c>
      <c r="C23" s="14">
        <f>COUNTIFS('KSI Requirements'!A:A,"KSI-MLA")</f>
        <v>6</v>
      </c>
      <c r="D23" s="14">
        <f>COUNTIFS('KSI Requirements'!A:A,"KSI-MLA", 'KSI Requirements'!H:H, TRUE)</f>
        <v>5</v>
      </c>
      <c r="E23" s="14">
        <f>COUNTIFS('KSI Requirements'!A:A,"KSI-MLA", 'KSI Requirements'!H:H, "PARTIAL")</f>
        <v>1</v>
      </c>
      <c r="F23" s="14">
        <f>COUNTIFS('KSI Requirements'!A:A,"KSI-MLA", 'KSI Requirements'!H:H, FALSE)</f>
        <v>0</v>
      </c>
      <c r="G23" s="15">
        <v>0.92</v>
      </c>
      <c r="H23" s="32" t="str">
        <f>'KSI Assessment Details'!H7</f>
        <v>Fully Automated</v>
      </c>
      <c r="I23" s="2" t="s">
        <v>475</v>
      </c>
    </row>
    <row r="24" spans="1:9" x14ac:dyDescent="0.25">
      <c r="A24" s="2" t="s">
        <v>34</v>
      </c>
      <c r="B24" s="2" t="s">
        <v>35</v>
      </c>
      <c r="C24" s="14">
        <f>COUNTIFS('KSI Requirements'!A:A,"KSI-CMT")</f>
        <v>5</v>
      </c>
      <c r="D24" s="14">
        <f>COUNTIFS('KSI Requirements'!A:A,"KSI-CMT", 'KSI Requirements'!H:H, TRUE)</f>
        <v>4</v>
      </c>
      <c r="E24" s="14">
        <f>COUNTIFS('KSI Requirements'!A:A,"KSI-CMT", 'KSI Requirements'!H:H, "PARTIAL")</f>
        <v>1</v>
      </c>
      <c r="F24" s="14">
        <f>COUNTIFS('KSI Requirements'!A:A,"KSI-CMT", 'KSI Requirements'!H:H, FALSE)</f>
        <v>0</v>
      </c>
      <c r="G24" s="15">
        <v>0.9</v>
      </c>
      <c r="H24" s="32" t="str">
        <f>'KSI Assessment Details'!H8</f>
        <v>Partially Automated</v>
      </c>
      <c r="I24" s="2" t="s">
        <v>475</v>
      </c>
    </row>
    <row r="25" spans="1:9" x14ac:dyDescent="0.25">
      <c r="A25" s="2" t="s">
        <v>36</v>
      </c>
      <c r="B25" s="2" t="s">
        <v>37</v>
      </c>
      <c r="C25" s="14">
        <f>COUNTIFS('KSI Requirements'!A:A,"KSI-PIY")</f>
        <v>7</v>
      </c>
      <c r="D25" s="14">
        <f>COUNTIFS('KSI Requirements'!A:A,"KSI-PIY", 'KSI Requirements'!H:H, TRUE)</f>
        <v>5</v>
      </c>
      <c r="E25" s="14">
        <f>COUNTIFS('KSI Requirements'!A:A,"KSI-PIY", 'KSI Requirements'!H:H, "PARTIAL")</f>
        <v>2</v>
      </c>
      <c r="F25" s="14">
        <f>COUNTIFS('KSI Requirements'!A:A,"KSI-PIY", 'KSI Requirements'!H:H, FALSE)</f>
        <v>0</v>
      </c>
      <c r="G25" s="15">
        <v>0.96</v>
      </c>
      <c r="H25" s="32" t="str">
        <f>'KSI Assessment Details'!H9</f>
        <v>Partially Automated</v>
      </c>
      <c r="I25" s="2" t="s">
        <v>475</v>
      </c>
    </row>
    <row r="26" spans="1:9" x14ac:dyDescent="0.25">
      <c r="A26" s="2" t="s">
        <v>39</v>
      </c>
      <c r="B26" s="2" t="s">
        <v>40</v>
      </c>
      <c r="C26" s="14">
        <f>COUNTIFS('KSI Requirements'!A:A,"KSI-TPR")</f>
        <v>4</v>
      </c>
      <c r="D26" s="14">
        <f>COUNTIFS('KSI Requirements'!A:A,"KSI-TPR", 'KSI Requirements'!H:H, TRUE)</f>
        <v>3</v>
      </c>
      <c r="E26" s="14">
        <f>COUNTIFS('KSI Requirements'!A:A,"KSI-TPR", 'KSI Requirements'!H:H, "PARTIAL")</f>
        <v>1</v>
      </c>
      <c r="F26" s="14">
        <f>COUNTIFS('KSI Requirements'!A:A,"KSI-TPR", 'KSI Requirements'!H:H, FALSE)</f>
        <v>0</v>
      </c>
      <c r="G26" s="15">
        <v>0.88</v>
      </c>
      <c r="H26" s="32" t="str">
        <f>'KSI Assessment Details'!H10</f>
        <v>Partially Automated</v>
      </c>
      <c r="I26" s="2" t="s">
        <v>27</v>
      </c>
    </row>
    <row r="27" spans="1:9" x14ac:dyDescent="0.25">
      <c r="A27" s="2" t="s">
        <v>41</v>
      </c>
      <c r="B27" s="2" t="s">
        <v>42</v>
      </c>
      <c r="C27" s="14">
        <f>COUNTIFS('KSI Requirements'!A:A,"KSI-CED")</f>
        <v>2</v>
      </c>
      <c r="D27" s="14">
        <f>COUNTIFS('KSI Requirements'!A:A,"KSI-CED", 'KSI Requirements'!H:H, TRUE)</f>
        <v>2</v>
      </c>
      <c r="E27" s="14">
        <f>COUNTIFS('KSI Requirements'!A:A,"KSI-CED", 'KSI Requirements'!H:H, "PARTIAL")</f>
        <v>0</v>
      </c>
      <c r="F27" s="14">
        <f>COUNTIFS('KSI Requirements'!A:A,"KSI-CED", 'KSI Requirements'!H:H, FALSE)</f>
        <v>0</v>
      </c>
      <c r="G27" s="15">
        <v>1</v>
      </c>
      <c r="H27" s="32" t="str">
        <f>'KSI Assessment Details'!H11</f>
        <v xml:space="preserve">Manual </v>
      </c>
      <c r="I27" s="2" t="s">
        <v>27</v>
      </c>
    </row>
    <row r="28" spans="1:9" x14ac:dyDescent="0.25">
      <c r="A28" s="2" t="s">
        <v>43</v>
      </c>
      <c r="B28" s="2" t="s">
        <v>44</v>
      </c>
      <c r="C28" s="14">
        <f>COUNTIFS('KSI Requirements'!A:A,"KSI-RPL")</f>
        <v>4</v>
      </c>
      <c r="D28" s="14">
        <f>COUNTIFS('KSI Requirements'!A:A,"KSI-RPL", 'KSI Requirements'!H:H, TRUE)</f>
        <v>2</v>
      </c>
      <c r="E28" s="14">
        <f>COUNTIFS('KSI Requirements'!A:A,"KSI-RPL", 'KSI Requirements'!H:H, "PARTIAL")</f>
        <v>2</v>
      </c>
      <c r="F28" s="14">
        <f>COUNTIFS('KSI Requirements'!A:A,"KSI-R{:", 'KSI Requirements'!H:H, FALSE)</f>
        <v>0</v>
      </c>
      <c r="G28" s="15">
        <v>0.75</v>
      </c>
      <c r="H28" s="32" t="str">
        <f>'KSI Assessment Details'!H12</f>
        <v>Partially Automated</v>
      </c>
      <c r="I28" s="2" t="s">
        <v>27</v>
      </c>
    </row>
    <row r="29" spans="1:9" x14ac:dyDescent="0.25">
      <c r="A29" s="2" t="s">
        <v>45</v>
      </c>
      <c r="B29" s="2" t="s">
        <v>46</v>
      </c>
      <c r="C29" s="14">
        <f>COUNTIFS('KSI Requirements'!A:A,"KSI-INR")</f>
        <v>3</v>
      </c>
      <c r="D29" s="14">
        <f>COUNTIFS('KSI Requirements'!A:A,"KSI-INR", 'KSI Requirements'!H:H, TRUE)</f>
        <v>3</v>
      </c>
      <c r="E29" s="14">
        <f>COUNTIFS('KSI Requirements'!A:A,"KSI-INR", 'KSI Requirements'!H:H, "PARTIAL")</f>
        <v>0</v>
      </c>
      <c r="F29" s="14">
        <f>COUNTIFS('KSI Requirements'!A:A,"KSI-INR", 'KSI Requirements'!H:H, FALSE)</f>
        <v>0</v>
      </c>
      <c r="G29" s="15">
        <v>1</v>
      </c>
      <c r="H29" s="32" t="str">
        <f>'KSI Assessment Details'!H13</f>
        <v>Partially Automated</v>
      </c>
      <c r="I29" s="2" t="s">
        <v>27</v>
      </c>
    </row>
    <row r="32" spans="1:9" ht="15.75" x14ac:dyDescent="0.25">
      <c r="A32" s="24" t="s">
        <v>47</v>
      </c>
      <c r="B32" s="24"/>
      <c r="C32" s="24"/>
      <c r="D32" s="24"/>
    </row>
    <row r="33" spans="1:4" x14ac:dyDescent="0.25">
      <c r="A33" s="27" t="s">
        <v>48</v>
      </c>
      <c r="B33" s="28"/>
      <c r="C33" s="29">
        <f>SUM(C20:C29)</f>
        <v>51</v>
      </c>
      <c r="D33" s="29"/>
    </row>
    <row r="34" spans="1:4" x14ac:dyDescent="0.25">
      <c r="A34" s="27" t="s">
        <v>514</v>
      </c>
      <c r="B34" s="28"/>
      <c r="C34" s="33">
        <f>SUM(D20:D29)</f>
        <v>42</v>
      </c>
      <c r="D34" s="33"/>
    </row>
    <row r="35" spans="1:4" x14ac:dyDescent="0.25">
      <c r="A35" s="27" t="s">
        <v>515</v>
      </c>
      <c r="B35" s="28"/>
      <c r="C35" s="29">
        <f>SUM(E20:E29)</f>
        <v>9</v>
      </c>
      <c r="D35" s="29"/>
    </row>
    <row r="36" spans="1:4" x14ac:dyDescent="0.25">
      <c r="A36" s="27" t="s">
        <v>516</v>
      </c>
      <c r="B36" s="28"/>
      <c r="C36" s="29" t="s">
        <v>49</v>
      </c>
      <c r="D36" s="29"/>
    </row>
    <row r="37" spans="1:4" x14ac:dyDescent="0.25">
      <c r="A37" s="27" t="s">
        <v>50</v>
      </c>
      <c r="B37" s="28"/>
      <c r="C37" s="34">
        <v>0.89219999999999999</v>
      </c>
      <c r="D37" s="33"/>
    </row>
    <row r="38" spans="1:4" x14ac:dyDescent="0.25">
      <c r="A38" s="27" t="s">
        <v>51</v>
      </c>
      <c r="B38" s="28"/>
      <c r="C38" s="30">
        <v>0.74509999999999998</v>
      </c>
      <c r="D38" s="29"/>
    </row>
    <row r="39" spans="1:4" x14ac:dyDescent="0.25">
      <c r="A39" s="27" t="s">
        <v>52</v>
      </c>
      <c r="B39" s="28"/>
      <c r="C39" s="29" t="s">
        <v>53</v>
      </c>
      <c r="D39" s="29"/>
    </row>
  </sheetData>
  <mergeCells count="32">
    <mergeCell ref="A37:B37"/>
    <mergeCell ref="C37:D37"/>
    <mergeCell ref="A38:B38"/>
    <mergeCell ref="C38:D38"/>
    <mergeCell ref="A39:B39"/>
    <mergeCell ref="C39:D39"/>
    <mergeCell ref="A34:B34"/>
    <mergeCell ref="C34:D34"/>
    <mergeCell ref="A35:B35"/>
    <mergeCell ref="C35:D35"/>
    <mergeCell ref="A36:B36"/>
    <mergeCell ref="C36:D36"/>
    <mergeCell ref="A16:I16"/>
    <mergeCell ref="A18:I18"/>
    <mergeCell ref="A32:D32"/>
    <mergeCell ref="A33:B33"/>
    <mergeCell ref="C33:D33"/>
    <mergeCell ref="A11:I11"/>
    <mergeCell ref="A12:I12"/>
    <mergeCell ref="A13:I13"/>
    <mergeCell ref="A14:I14"/>
    <mergeCell ref="A15:I15"/>
    <mergeCell ref="B7:D7"/>
    <mergeCell ref="F7:I7"/>
    <mergeCell ref="B8:D8"/>
    <mergeCell ref="F8:I8"/>
    <mergeCell ref="A10:I10"/>
    <mergeCell ref="A1:I1"/>
    <mergeCell ref="A2:I2"/>
    <mergeCell ref="A5:I5"/>
    <mergeCell ref="B6:D6"/>
    <mergeCell ref="F6:I6"/>
  </mergeCells>
  <pageMargins left="0.7" right="0.7" top="0.75" bottom="0.75" header="0.3" footer="0.3"/>
  <ignoredErrors>
    <ignoredError sqref="D21:F21" formula="1"/>
    <ignoredError sqref="C36 C3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topLeftCell="I1" workbookViewId="0">
      <selection activeCell="K6" sqref="K6"/>
    </sheetView>
  </sheetViews>
  <sheetFormatPr defaultRowHeight="15" x14ac:dyDescent="0.25"/>
  <cols>
    <col min="1" max="1" width="30.7109375" customWidth="1"/>
    <col min="2" max="2" width="15.7109375" customWidth="1"/>
    <col min="3" max="3" width="40.7109375" customWidth="1"/>
    <col min="4" max="4" width="60.7109375" customWidth="1"/>
    <col min="5" max="5" width="50.7109375" customWidth="1"/>
    <col min="6" max="7" width="40.7109375" customWidth="1"/>
    <col min="8" max="8" width="20.7109375" customWidth="1"/>
    <col min="9" max="9" width="60.7109375" customWidth="1"/>
    <col min="10" max="10" width="40.7109375" customWidth="1"/>
    <col min="11" max="11" width="15.7109375" customWidth="1"/>
    <col min="12" max="12" width="50.7109375" customWidth="1"/>
  </cols>
  <sheetData>
    <row r="1" spans="1:12" ht="23.25" x14ac:dyDescent="0.35">
      <c r="A1" s="22" t="s">
        <v>54</v>
      </c>
      <c r="B1" s="22"/>
      <c r="C1" s="22"/>
      <c r="D1" s="22"/>
      <c r="E1" s="22"/>
      <c r="F1" s="22"/>
      <c r="G1" s="22"/>
      <c r="H1" s="22"/>
      <c r="I1" s="22"/>
      <c r="J1" s="22"/>
      <c r="K1" s="22"/>
      <c r="L1" s="22"/>
    </row>
    <row r="3" spans="1:12" x14ac:dyDescent="0.25">
      <c r="A3" s="4" t="s">
        <v>55</v>
      </c>
      <c r="B3" s="4" t="s">
        <v>19</v>
      </c>
      <c r="C3" s="4" t="s">
        <v>20</v>
      </c>
      <c r="D3" s="4" t="s">
        <v>56</v>
      </c>
      <c r="E3" s="4" t="s">
        <v>57</v>
      </c>
      <c r="F3" s="4" t="s">
        <v>58</v>
      </c>
      <c r="G3" s="4" t="s">
        <v>59</v>
      </c>
      <c r="H3" s="4" t="s">
        <v>22</v>
      </c>
      <c r="I3" s="4" t="s">
        <v>60</v>
      </c>
      <c r="J3" s="4" t="s">
        <v>61</v>
      </c>
      <c r="K3" s="4" t="s">
        <v>62</v>
      </c>
      <c r="L3" s="4" t="s">
        <v>63</v>
      </c>
    </row>
    <row r="4" spans="1:12" ht="229.5" x14ac:dyDescent="0.25">
      <c r="A4" s="3" t="s">
        <v>25</v>
      </c>
      <c r="B4" s="2" t="s">
        <v>24</v>
      </c>
      <c r="C4" s="3" t="s">
        <v>25</v>
      </c>
      <c r="D4" s="3" t="s">
        <v>64</v>
      </c>
      <c r="E4" s="3" t="s">
        <v>65</v>
      </c>
      <c r="F4" s="3" t="s">
        <v>426</v>
      </c>
      <c r="G4" s="3" t="s">
        <v>436</v>
      </c>
      <c r="H4" s="2" t="s">
        <v>26</v>
      </c>
      <c r="I4" s="3" t="s">
        <v>462</v>
      </c>
      <c r="J4" s="3" t="s">
        <v>451</v>
      </c>
      <c r="K4" s="20" t="s">
        <v>335</v>
      </c>
      <c r="L4" s="3" t="s">
        <v>66</v>
      </c>
    </row>
    <row r="5" spans="1:12" ht="229.5" x14ac:dyDescent="0.25">
      <c r="A5" s="3" t="s">
        <v>29</v>
      </c>
      <c r="B5" s="2" t="s">
        <v>28</v>
      </c>
      <c r="C5" s="3" t="s">
        <v>29</v>
      </c>
      <c r="D5" s="3" t="s">
        <v>67</v>
      </c>
      <c r="E5" s="3" t="s">
        <v>68</v>
      </c>
      <c r="F5" s="3" t="s">
        <v>427</v>
      </c>
      <c r="G5" s="3" t="s">
        <v>437</v>
      </c>
      <c r="H5" s="2" t="s">
        <v>26</v>
      </c>
      <c r="I5" s="3" t="s">
        <v>463</v>
      </c>
      <c r="J5" s="3" t="s">
        <v>452</v>
      </c>
      <c r="K5" s="21" t="b">
        <v>1</v>
      </c>
      <c r="L5" s="3" t="s">
        <v>447</v>
      </c>
    </row>
    <row r="6" spans="1:12" ht="204" x14ac:dyDescent="0.25">
      <c r="A6" s="3" t="s">
        <v>31</v>
      </c>
      <c r="B6" s="2" t="s">
        <v>30</v>
      </c>
      <c r="C6" s="3" t="s">
        <v>31</v>
      </c>
      <c r="D6" s="3" t="s">
        <v>69</v>
      </c>
      <c r="E6" s="3" t="s">
        <v>70</v>
      </c>
      <c r="F6" s="3" t="s">
        <v>428</v>
      </c>
      <c r="G6" s="3" t="s">
        <v>438</v>
      </c>
      <c r="H6" s="2" t="s">
        <v>26</v>
      </c>
      <c r="I6" s="3" t="s">
        <v>464</v>
      </c>
      <c r="J6" s="3" t="s">
        <v>453</v>
      </c>
      <c r="K6" s="21" t="b">
        <v>1</v>
      </c>
      <c r="L6" s="3" t="s">
        <v>66</v>
      </c>
    </row>
    <row r="7" spans="1:12" ht="255" x14ac:dyDescent="0.25">
      <c r="A7" s="3" t="s">
        <v>33</v>
      </c>
      <c r="B7" s="2" t="s">
        <v>32</v>
      </c>
      <c r="C7" s="3" t="s">
        <v>33</v>
      </c>
      <c r="D7" s="3" t="s">
        <v>71</v>
      </c>
      <c r="E7" s="3" t="s">
        <v>72</v>
      </c>
      <c r="F7" s="3" t="s">
        <v>429</v>
      </c>
      <c r="G7" s="3" t="s">
        <v>439</v>
      </c>
      <c r="H7" s="2" t="s">
        <v>26</v>
      </c>
      <c r="I7" s="13" t="s">
        <v>477</v>
      </c>
      <c r="J7" s="3" t="s">
        <v>454</v>
      </c>
      <c r="K7" s="20" t="s">
        <v>335</v>
      </c>
      <c r="L7" s="3" t="s">
        <v>448</v>
      </c>
    </row>
    <row r="8" spans="1:12" ht="357" x14ac:dyDescent="0.25">
      <c r="A8" s="3" t="s">
        <v>35</v>
      </c>
      <c r="B8" s="2" t="s">
        <v>34</v>
      </c>
      <c r="C8" s="3" t="s">
        <v>35</v>
      </c>
      <c r="D8" s="3" t="s">
        <v>73</v>
      </c>
      <c r="E8" s="3" t="s">
        <v>74</v>
      </c>
      <c r="F8" s="3" t="s">
        <v>430</v>
      </c>
      <c r="G8" s="3" t="s">
        <v>440</v>
      </c>
      <c r="H8" s="2" t="s">
        <v>38</v>
      </c>
      <c r="I8" s="13" t="s">
        <v>465</v>
      </c>
      <c r="J8" s="3" t="s">
        <v>455</v>
      </c>
      <c r="K8" s="21" t="b">
        <v>1</v>
      </c>
      <c r="L8" s="3" t="s">
        <v>449</v>
      </c>
    </row>
    <row r="9" spans="1:12" ht="395.25" x14ac:dyDescent="0.25">
      <c r="A9" s="3" t="s">
        <v>37</v>
      </c>
      <c r="B9" s="2" t="s">
        <v>36</v>
      </c>
      <c r="C9" s="3" t="s">
        <v>37</v>
      </c>
      <c r="D9" s="3" t="s">
        <v>75</v>
      </c>
      <c r="E9" s="3" t="s">
        <v>76</v>
      </c>
      <c r="F9" s="3" t="s">
        <v>431</v>
      </c>
      <c r="G9" s="3" t="s">
        <v>441</v>
      </c>
      <c r="H9" s="2" t="s">
        <v>38</v>
      </c>
      <c r="I9" s="3" t="s">
        <v>466</v>
      </c>
      <c r="J9" s="3" t="s">
        <v>456</v>
      </c>
      <c r="K9" s="20" t="s">
        <v>335</v>
      </c>
      <c r="L9" s="3" t="s">
        <v>450</v>
      </c>
    </row>
    <row r="10" spans="1:12" ht="229.5" x14ac:dyDescent="0.25">
      <c r="A10" s="3" t="s">
        <v>40</v>
      </c>
      <c r="B10" s="2" t="s">
        <v>39</v>
      </c>
      <c r="C10" s="3" t="s">
        <v>40</v>
      </c>
      <c r="D10" s="3" t="s">
        <v>77</v>
      </c>
      <c r="E10" s="3" t="s">
        <v>78</v>
      </c>
      <c r="F10" s="3" t="s">
        <v>432</v>
      </c>
      <c r="G10" s="3" t="s">
        <v>442</v>
      </c>
      <c r="H10" s="2" t="s">
        <v>38</v>
      </c>
      <c r="I10" s="3" t="s">
        <v>467</v>
      </c>
      <c r="J10" s="3" t="s">
        <v>457</v>
      </c>
      <c r="K10" s="20" t="s">
        <v>335</v>
      </c>
      <c r="L10" s="3" t="s">
        <v>66</v>
      </c>
    </row>
    <row r="11" spans="1:12" ht="153" x14ac:dyDescent="0.25">
      <c r="A11" s="3" t="s">
        <v>42</v>
      </c>
      <c r="B11" s="2" t="s">
        <v>41</v>
      </c>
      <c r="C11" s="3" t="s">
        <v>42</v>
      </c>
      <c r="D11" s="3" t="s">
        <v>79</v>
      </c>
      <c r="E11" s="3" t="s">
        <v>80</v>
      </c>
      <c r="F11" s="3" t="s">
        <v>433</v>
      </c>
      <c r="G11" s="3" t="s">
        <v>443</v>
      </c>
      <c r="H11" s="2" t="s">
        <v>446</v>
      </c>
      <c r="I11" s="3" t="s">
        <v>468</v>
      </c>
      <c r="J11" s="3" t="s">
        <v>458</v>
      </c>
      <c r="K11" s="21" t="b">
        <v>1</v>
      </c>
      <c r="L11" s="3" t="s">
        <v>66</v>
      </c>
    </row>
    <row r="12" spans="1:12" ht="204" x14ac:dyDescent="0.25">
      <c r="A12" s="3" t="s">
        <v>44</v>
      </c>
      <c r="B12" s="2" t="s">
        <v>43</v>
      </c>
      <c r="C12" s="3" t="s">
        <v>44</v>
      </c>
      <c r="D12" s="3" t="s">
        <v>81</v>
      </c>
      <c r="E12" s="3" t="s">
        <v>82</v>
      </c>
      <c r="F12" s="3" t="s">
        <v>434</v>
      </c>
      <c r="G12" s="3" t="s">
        <v>444</v>
      </c>
      <c r="H12" s="2" t="s">
        <v>38</v>
      </c>
      <c r="I12" s="3" t="s">
        <v>469</v>
      </c>
      <c r="J12" s="3" t="s">
        <v>461</v>
      </c>
      <c r="K12" s="20" t="s">
        <v>335</v>
      </c>
      <c r="L12" s="3" t="s">
        <v>66</v>
      </c>
    </row>
    <row r="13" spans="1:12" ht="216.75" x14ac:dyDescent="0.25">
      <c r="A13" s="3" t="s">
        <v>46</v>
      </c>
      <c r="B13" s="2" t="s">
        <v>45</v>
      </c>
      <c r="C13" s="3" t="s">
        <v>46</v>
      </c>
      <c r="D13" s="3" t="s">
        <v>83</v>
      </c>
      <c r="E13" s="3" t="s">
        <v>84</v>
      </c>
      <c r="F13" s="3" t="s">
        <v>435</v>
      </c>
      <c r="G13" s="3" t="s">
        <v>445</v>
      </c>
      <c r="H13" s="2" t="s">
        <v>38</v>
      </c>
      <c r="I13" s="3" t="s">
        <v>470</v>
      </c>
      <c r="J13" s="3" t="s">
        <v>460</v>
      </c>
      <c r="K13" s="21" t="b">
        <v>1</v>
      </c>
      <c r="L13" s="3" t="s">
        <v>66</v>
      </c>
    </row>
  </sheetData>
  <autoFilter ref="A3:L13" xr:uid="{00000000-0001-0000-0100-000000000000}"/>
  <mergeCells count="1">
    <mergeCell ref="A1:L1"/>
  </mergeCells>
  <dataValidations count="1">
    <dataValidation type="list" allowBlank="1" showInputMessage="1" showErrorMessage="1" sqref="K4:K13" xr:uid="{547A66BA-D04A-4EA1-AFF4-9657F7AE4037}">
      <formula1>"True,False,Partial,Not Applicable"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4"/>
  <sheetViews>
    <sheetView topLeftCell="F5" zoomScale="115" zoomScaleNormal="115" workbookViewId="0">
      <selection activeCell="H30" sqref="H30"/>
    </sheetView>
  </sheetViews>
  <sheetFormatPr defaultRowHeight="15" x14ac:dyDescent="0.25"/>
  <cols>
    <col min="1" max="1" width="15.7109375" customWidth="1"/>
    <col min="2" max="2" width="35.7109375" customWidth="1"/>
    <col min="3" max="3" width="20.7109375" customWidth="1"/>
    <col min="4" max="4" width="60.7109375" customWidth="1"/>
    <col min="5" max="5" width="66.28515625" customWidth="1"/>
    <col min="6" max="6" width="20.7109375" style="9" customWidth="1"/>
    <col min="7" max="7" width="80.7109375" customWidth="1"/>
    <col min="8" max="8" width="15.7109375" customWidth="1"/>
    <col min="9" max="9" width="40.7109375" customWidth="1"/>
  </cols>
  <sheetData>
    <row r="1" spans="1:9" ht="23.25" x14ac:dyDescent="0.35">
      <c r="A1" s="22" t="s">
        <v>85</v>
      </c>
      <c r="B1" s="22"/>
      <c r="C1" s="22"/>
      <c r="D1" s="22"/>
      <c r="E1" s="22"/>
      <c r="F1" s="22"/>
      <c r="G1" s="22"/>
      <c r="H1" s="22"/>
      <c r="I1" s="22"/>
    </row>
    <row r="3" spans="1:9" x14ac:dyDescent="0.25">
      <c r="A3" s="4" t="s">
        <v>19</v>
      </c>
      <c r="B3" s="4" t="s">
        <v>20</v>
      </c>
      <c r="C3" s="4" t="s">
        <v>86</v>
      </c>
      <c r="D3" s="4" t="s">
        <v>87</v>
      </c>
      <c r="E3" s="4" t="s">
        <v>88</v>
      </c>
      <c r="F3" s="4" t="s">
        <v>22</v>
      </c>
      <c r="G3" s="4" t="s">
        <v>89</v>
      </c>
      <c r="H3" s="4" t="s">
        <v>90</v>
      </c>
      <c r="I3" s="4" t="s">
        <v>61</v>
      </c>
    </row>
    <row r="4" spans="1:9" x14ac:dyDescent="0.25">
      <c r="A4" s="31" t="s">
        <v>91</v>
      </c>
      <c r="B4" s="31"/>
      <c r="C4" s="31"/>
      <c r="D4" s="31"/>
      <c r="E4" s="31"/>
      <c r="F4" s="31"/>
      <c r="G4" s="31"/>
      <c r="H4" s="31"/>
      <c r="I4" s="31"/>
    </row>
    <row r="5" spans="1:9" ht="190.5" customHeight="1" x14ac:dyDescent="0.25">
      <c r="A5" s="2" t="s">
        <v>24</v>
      </c>
      <c r="B5" s="3" t="s">
        <v>25</v>
      </c>
      <c r="C5" s="2" t="s">
        <v>92</v>
      </c>
      <c r="D5" s="8" t="s">
        <v>262</v>
      </c>
      <c r="E5" s="8" t="s">
        <v>387</v>
      </c>
      <c r="F5" s="6" t="s">
        <v>26</v>
      </c>
      <c r="G5" s="3" t="s">
        <v>388</v>
      </c>
      <c r="H5" s="20" t="s">
        <v>476</v>
      </c>
      <c r="I5" s="10" t="s">
        <v>336</v>
      </c>
    </row>
    <row r="6" spans="1:9" ht="258.75" customHeight="1" x14ac:dyDescent="0.25">
      <c r="A6" s="2" t="s">
        <v>24</v>
      </c>
      <c r="B6" s="3" t="s">
        <v>25</v>
      </c>
      <c r="C6" s="2" t="s">
        <v>93</v>
      </c>
      <c r="D6" s="8" t="s">
        <v>389</v>
      </c>
      <c r="E6" s="8" t="s">
        <v>217</v>
      </c>
      <c r="F6" s="6" t="s">
        <v>26</v>
      </c>
      <c r="G6" s="7" t="s">
        <v>211</v>
      </c>
      <c r="H6" s="21" t="b">
        <v>1</v>
      </c>
      <c r="I6" s="10" t="s">
        <v>337</v>
      </c>
    </row>
    <row r="7" spans="1:9" ht="255" x14ac:dyDescent="0.25">
      <c r="A7" s="2" t="s">
        <v>24</v>
      </c>
      <c r="B7" s="3" t="s">
        <v>25</v>
      </c>
      <c r="C7" s="2" t="s">
        <v>94</v>
      </c>
      <c r="D7" s="8" t="s">
        <v>263</v>
      </c>
      <c r="E7" s="8" t="s">
        <v>218</v>
      </c>
      <c r="F7" s="6" t="s">
        <v>26</v>
      </c>
      <c r="G7" s="3" t="s">
        <v>212</v>
      </c>
      <c r="H7" s="21" t="b">
        <v>1</v>
      </c>
      <c r="I7" s="10" t="s">
        <v>338</v>
      </c>
    </row>
    <row r="8" spans="1:9" ht="87" customHeight="1" x14ac:dyDescent="0.25">
      <c r="A8" s="2" t="s">
        <v>24</v>
      </c>
      <c r="B8" s="3" t="s">
        <v>25</v>
      </c>
      <c r="C8" s="2" t="s">
        <v>95</v>
      </c>
      <c r="D8" s="8" t="s">
        <v>264</v>
      </c>
      <c r="E8" s="8" t="s">
        <v>219</v>
      </c>
      <c r="F8" s="6" t="s">
        <v>26</v>
      </c>
      <c r="G8" s="3" t="s">
        <v>213</v>
      </c>
      <c r="H8" s="21" t="b">
        <v>1</v>
      </c>
      <c r="I8" s="10" t="s">
        <v>339</v>
      </c>
    </row>
    <row r="9" spans="1:9" ht="87.75" customHeight="1" x14ac:dyDescent="0.25">
      <c r="A9" s="2" t="s">
        <v>24</v>
      </c>
      <c r="B9" s="3" t="s">
        <v>25</v>
      </c>
      <c r="C9" s="2" t="s">
        <v>96</v>
      </c>
      <c r="D9" s="8" t="s">
        <v>265</v>
      </c>
      <c r="E9" s="8" t="s">
        <v>386</v>
      </c>
      <c r="F9" s="6" t="s">
        <v>26</v>
      </c>
      <c r="G9" s="3" t="s">
        <v>214</v>
      </c>
      <c r="H9" s="20" t="s">
        <v>476</v>
      </c>
      <c r="I9" s="10" t="s">
        <v>340</v>
      </c>
    </row>
    <row r="10" spans="1:9" ht="331.5" x14ac:dyDescent="0.25">
      <c r="A10" s="2" t="s">
        <v>24</v>
      </c>
      <c r="B10" s="3" t="s">
        <v>25</v>
      </c>
      <c r="C10" s="2" t="s">
        <v>97</v>
      </c>
      <c r="D10" s="8" t="s">
        <v>266</v>
      </c>
      <c r="E10" s="8" t="s">
        <v>220</v>
      </c>
      <c r="F10" s="6" t="s">
        <v>26</v>
      </c>
      <c r="G10" s="3" t="s">
        <v>215</v>
      </c>
      <c r="H10" s="21" t="b">
        <v>1</v>
      </c>
      <c r="I10" s="10" t="s">
        <v>341</v>
      </c>
    </row>
    <row r="11" spans="1:9" ht="409.5" x14ac:dyDescent="0.25">
      <c r="A11" s="2" t="s">
        <v>24</v>
      </c>
      <c r="B11" s="3" t="s">
        <v>25</v>
      </c>
      <c r="C11" s="2" t="s">
        <v>98</v>
      </c>
      <c r="D11" s="8" t="s">
        <v>267</v>
      </c>
      <c r="E11" s="8" t="s">
        <v>221</v>
      </c>
      <c r="F11" s="6" t="s">
        <v>26</v>
      </c>
      <c r="G11" s="3" t="s">
        <v>216</v>
      </c>
      <c r="H11" s="21" t="b">
        <v>1</v>
      </c>
      <c r="I11" s="10" t="s">
        <v>342</v>
      </c>
    </row>
    <row r="12" spans="1:9" x14ac:dyDescent="0.25">
      <c r="A12" s="31" t="s">
        <v>99</v>
      </c>
      <c r="B12" s="31"/>
      <c r="C12" s="31"/>
      <c r="D12" s="31"/>
      <c r="E12" s="31"/>
      <c r="F12" s="31"/>
      <c r="G12" s="31"/>
      <c r="H12" s="31"/>
      <c r="I12" s="31"/>
    </row>
    <row r="13" spans="1:9" ht="147.75" customHeight="1" x14ac:dyDescent="0.25">
      <c r="A13" s="2" t="s">
        <v>28</v>
      </c>
      <c r="B13" s="3" t="s">
        <v>29</v>
      </c>
      <c r="C13" s="2" t="s">
        <v>100</v>
      </c>
      <c r="D13" s="8" t="s">
        <v>268</v>
      </c>
      <c r="E13" s="8" t="s">
        <v>222</v>
      </c>
      <c r="F13" s="6" t="s">
        <v>26</v>
      </c>
      <c r="G13" s="3" t="s">
        <v>390</v>
      </c>
      <c r="H13" s="21" t="b">
        <v>1</v>
      </c>
      <c r="I13" s="10" t="s">
        <v>343</v>
      </c>
    </row>
    <row r="14" spans="1:9" ht="147.75" customHeight="1" x14ac:dyDescent="0.25">
      <c r="A14" s="2" t="s">
        <v>28</v>
      </c>
      <c r="B14" s="3" t="s">
        <v>29</v>
      </c>
      <c r="C14" s="2" t="s">
        <v>101</v>
      </c>
      <c r="D14" s="8" t="s">
        <v>269</v>
      </c>
      <c r="E14" s="8" t="s">
        <v>222</v>
      </c>
      <c r="F14" s="6" t="s">
        <v>26</v>
      </c>
      <c r="G14" s="3" t="s">
        <v>391</v>
      </c>
      <c r="H14" s="21" t="b">
        <v>1</v>
      </c>
      <c r="I14" s="10" t="s">
        <v>344</v>
      </c>
    </row>
    <row r="15" spans="1:9" ht="147.75" customHeight="1" x14ac:dyDescent="0.25">
      <c r="A15" s="2" t="s">
        <v>28</v>
      </c>
      <c r="B15" s="3" t="s">
        <v>29</v>
      </c>
      <c r="C15" s="2" t="s">
        <v>102</v>
      </c>
      <c r="D15" s="8" t="s">
        <v>270</v>
      </c>
      <c r="E15" s="8" t="s">
        <v>409</v>
      </c>
      <c r="F15" s="6" t="s">
        <v>26</v>
      </c>
      <c r="G15" s="3" t="s">
        <v>410</v>
      </c>
      <c r="H15" s="21" t="b">
        <v>1</v>
      </c>
      <c r="I15" s="10" t="s">
        <v>345</v>
      </c>
    </row>
    <row r="16" spans="1:9" ht="208.5" customHeight="1" x14ac:dyDescent="0.25">
      <c r="A16" s="2" t="s">
        <v>28</v>
      </c>
      <c r="B16" s="3" t="s">
        <v>29</v>
      </c>
      <c r="C16" s="2" t="s">
        <v>103</v>
      </c>
      <c r="D16" s="8" t="s">
        <v>271</v>
      </c>
      <c r="E16" s="8" t="s">
        <v>223</v>
      </c>
      <c r="F16" s="6" t="s">
        <v>26</v>
      </c>
      <c r="G16" s="3" t="s">
        <v>392</v>
      </c>
      <c r="H16" s="21" t="b">
        <v>1</v>
      </c>
      <c r="I16" s="10" t="s">
        <v>346</v>
      </c>
    </row>
    <row r="17" spans="1:9" ht="240" customHeight="1" x14ac:dyDescent="0.25">
      <c r="A17" s="2" t="s">
        <v>28</v>
      </c>
      <c r="B17" s="3" t="s">
        <v>29</v>
      </c>
      <c r="C17" s="2" t="s">
        <v>104</v>
      </c>
      <c r="D17" s="8" t="s">
        <v>272</v>
      </c>
      <c r="E17" s="8" t="s">
        <v>224</v>
      </c>
      <c r="F17" s="6" t="s">
        <v>26</v>
      </c>
      <c r="G17" s="3" t="s">
        <v>411</v>
      </c>
      <c r="H17" s="21" t="b">
        <v>1</v>
      </c>
      <c r="I17" s="10" t="s">
        <v>347</v>
      </c>
    </row>
    <row r="18" spans="1:9" ht="147.75" customHeight="1" x14ac:dyDescent="0.25">
      <c r="A18" s="2" t="s">
        <v>28</v>
      </c>
      <c r="B18" s="3" t="s">
        <v>29</v>
      </c>
      <c r="C18" s="2" t="s">
        <v>105</v>
      </c>
      <c r="D18" s="8" t="s">
        <v>273</v>
      </c>
      <c r="E18" s="8" t="s">
        <v>225</v>
      </c>
      <c r="F18" s="6" t="s">
        <v>26</v>
      </c>
      <c r="G18" s="3" t="s">
        <v>412</v>
      </c>
      <c r="H18" s="21" t="b">
        <v>1</v>
      </c>
      <c r="I18" s="10" t="s">
        <v>348</v>
      </c>
    </row>
    <row r="19" spans="1:9" ht="273.75" customHeight="1" x14ac:dyDescent="0.25">
      <c r="A19" s="2" t="s">
        <v>28</v>
      </c>
      <c r="B19" s="3" t="s">
        <v>29</v>
      </c>
      <c r="C19" s="2" t="s">
        <v>106</v>
      </c>
      <c r="D19" s="8" t="s">
        <v>274</v>
      </c>
      <c r="E19" s="8" t="s">
        <v>226</v>
      </c>
      <c r="F19" s="6" t="s">
        <v>26</v>
      </c>
      <c r="G19" s="3" t="s">
        <v>393</v>
      </c>
      <c r="H19" s="21" t="b">
        <v>1</v>
      </c>
      <c r="I19" s="10" t="s">
        <v>349</v>
      </c>
    </row>
    <row r="20" spans="1:9" x14ac:dyDescent="0.25">
      <c r="A20" s="31" t="s">
        <v>107</v>
      </c>
      <c r="B20" s="31"/>
      <c r="C20" s="31"/>
      <c r="D20" s="31"/>
      <c r="E20" s="31"/>
      <c r="F20" s="31"/>
      <c r="G20" s="31"/>
      <c r="H20" s="31"/>
      <c r="I20" s="31"/>
    </row>
    <row r="21" spans="1:9" ht="153" x14ac:dyDescent="0.25">
      <c r="A21" s="2" t="s">
        <v>30</v>
      </c>
      <c r="B21" s="3" t="s">
        <v>31</v>
      </c>
      <c r="C21" s="2" t="s">
        <v>108</v>
      </c>
      <c r="D21" s="8" t="s">
        <v>275</v>
      </c>
      <c r="E21" s="8" t="s">
        <v>227</v>
      </c>
      <c r="F21" s="6" t="s">
        <v>26</v>
      </c>
      <c r="G21" s="3" t="s">
        <v>394</v>
      </c>
      <c r="H21" s="21" t="b">
        <v>1</v>
      </c>
      <c r="I21" s="10" t="s">
        <v>350</v>
      </c>
    </row>
    <row r="22" spans="1:9" ht="178.5" x14ac:dyDescent="0.25">
      <c r="A22" s="2" t="s">
        <v>30</v>
      </c>
      <c r="B22" s="3" t="s">
        <v>31</v>
      </c>
      <c r="C22" s="2" t="s">
        <v>109</v>
      </c>
      <c r="D22" s="8" t="s">
        <v>276</v>
      </c>
      <c r="E22" s="8" t="s">
        <v>228</v>
      </c>
      <c r="F22" s="6" t="s">
        <v>26</v>
      </c>
      <c r="G22" s="3" t="s">
        <v>395</v>
      </c>
      <c r="H22" s="21" t="b">
        <v>1</v>
      </c>
      <c r="I22" s="10" t="s">
        <v>351</v>
      </c>
    </row>
    <row r="23" spans="1:9" ht="178.5" x14ac:dyDescent="0.25">
      <c r="A23" s="2" t="s">
        <v>30</v>
      </c>
      <c r="B23" s="3" t="s">
        <v>31</v>
      </c>
      <c r="C23" s="2" t="s">
        <v>110</v>
      </c>
      <c r="D23" s="8" t="s">
        <v>277</v>
      </c>
      <c r="E23" s="8" t="s">
        <v>228</v>
      </c>
      <c r="F23" s="6" t="s">
        <v>26</v>
      </c>
      <c r="G23" s="3" t="s">
        <v>396</v>
      </c>
      <c r="H23" s="21" t="b">
        <v>1</v>
      </c>
      <c r="I23" s="10" t="s">
        <v>352</v>
      </c>
    </row>
    <row r="24" spans="1:9" ht="255" x14ac:dyDescent="0.25">
      <c r="A24" s="2" t="s">
        <v>30</v>
      </c>
      <c r="B24" s="3" t="s">
        <v>31</v>
      </c>
      <c r="C24" s="2" t="s">
        <v>111</v>
      </c>
      <c r="D24" s="8" t="s">
        <v>278</v>
      </c>
      <c r="E24" s="8" t="s">
        <v>229</v>
      </c>
      <c r="F24" s="6" t="s">
        <v>26</v>
      </c>
      <c r="G24" s="3" t="s">
        <v>397</v>
      </c>
      <c r="H24" s="21" t="b">
        <v>1</v>
      </c>
      <c r="I24" s="10" t="s">
        <v>353</v>
      </c>
    </row>
    <row r="25" spans="1:9" ht="331.5" x14ac:dyDescent="0.25">
      <c r="A25" s="2" t="s">
        <v>30</v>
      </c>
      <c r="B25" s="3" t="s">
        <v>31</v>
      </c>
      <c r="C25" s="2" t="s">
        <v>112</v>
      </c>
      <c r="D25" s="8" t="s">
        <v>279</v>
      </c>
      <c r="E25" s="8" t="s">
        <v>230</v>
      </c>
      <c r="F25" s="6" t="s">
        <v>26</v>
      </c>
      <c r="G25" s="3" t="s">
        <v>398</v>
      </c>
      <c r="H25" s="21" t="b">
        <v>1</v>
      </c>
      <c r="I25" s="10" t="s">
        <v>354</v>
      </c>
    </row>
    <row r="26" spans="1:9" ht="255" x14ac:dyDescent="0.25">
      <c r="A26" s="2" t="s">
        <v>30</v>
      </c>
      <c r="B26" s="3" t="s">
        <v>31</v>
      </c>
      <c r="C26" s="2" t="s">
        <v>113</v>
      </c>
      <c r="D26" s="8" t="s">
        <v>280</v>
      </c>
      <c r="E26" s="8" t="s">
        <v>231</v>
      </c>
      <c r="F26" s="6" t="s">
        <v>26</v>
      </c>
      <c r="G26" s="3" t="s">
        <v>399</v>
      </c>
      <c r="H26" s="21" t="b">
        <v>1</v>
      </c>
      <c r="I26" s="10" t="s">
        <v>355</v>
      </c>
    </row>
    <row r="27" spans="1:9" x14ac:dyDescent="0.25">
      <c r="A27" s="31" t="s">
        <v>114</v>
      </c>
      <c r="B27" s="31"/>
      <c r="C27" s="31"/>
      <c r="D27" s="31"/>
      <c r="E27" s="31"/>
      <c r="F27" s="31"/>
      <c r="G27" s="31"/>
      <c r="H27" s="31"/>
      <c r="I27" s="31"/>
    </row>
    <row r="28" spans="1:9" ht="234.75" customHeight="1" x14ac:dyDescent="0.25">
      <c r="A28" s="2" t="s">
        <v>32</v>
      </c>
      <c r="B28" s="3" t="s">
        <v>33</v>
      </c>
      <c r="C28" s="2" t="s">
        <v>115</v>
      </c>
      <c r="D28" s="8" t="s">
        <v>281</v>
      </c>
      <c r="E28" s="8" t="s">
        <v>232</v>
      </c>
      <c r="F28" s="6" t="s">
        <v>26</v>
      </c>
      <c r="G28" s="3" t="s">
        <v>400</v>
      </c>
      <c r="H28" s="21" t="b">
        <v>1</v>
      </c>
      <c r="I28" s="10" t="s">
        <v>356</v>
      </c>
    </row>
    <row r="29" spans="1:9" ht="231.75" customHeight="1" x14ac:dyDescent="0.25">
      <c r="A29" s="2" t="s">
        <v>32</v>
      </c>
      <c r="B29" s="3" t="s">
        <v>33</v>
      </c>
      <c r="C29" s="2" t="s">
        <v>116</v>
      </c>
      <c r="D29" s="8" t="s">
        <v>282</v>
      </c>
      <c r="E29" s="8" t="s">
        <v>233</v>
      </c>
      <c r="F29" s="6" t="s">
        <v>26</v>
      </c>
      <c r="G29" s="3" t="s">
        <v>401</v>
      </c>
      <c r="H29" s="21" t="b">
        <v>1</v>
      </c>
      <c r="I29" s="10" t="s">
        <v>357</v>
      </c>
    </row>
    <row r="30" spans="1:9" ht="264" customHeight="1" x14ac:dyDescent="0.25">
      <c r="A30" s="2" t="s">
        <v>32</v>
      </c>
      <c r="B30" s="3" t="s">
        <v>33</v>
      </c>
      <c r="C30" s="2" t="s">
        <v>117</v>
      </c>
      <c r="D30" s="8" t="s">
        <v>283</v>
      </c>
      <c r="E30" s="8" t="s">
        <v>234</v>
      </c>
      <c r="F30" s="6" t="s">
        <v>26</v>
      </c>
      <c r="G30" s="3" t="s">
        <v>402</v>
      </c>
      <c r="H30" s="21" t="b">
        <v>1</v>
      </c>
      <c r="I30" s="10" t="s">
        <v>358</v>
      </c>
    </row>
    <row r="31" spans="1:9" ht="354" customHeight="1" x14ac:dyDescent="0.25">
      <c r="A31" s="2" t="s">
        <v>32</v>
      </c>
      <c r="B31" s="3" t="s">
        <v>33</v>
      </c>
      <c r="C31" s="2" t="s">
        <v>118</v>
      </c>
      <c r="D31" s="8" t="s">
        <v>284</v>
      </c>
      <c r="E31" s="8" t="s">
        <v>235</v>
      </c>
      <c r="F31" s="6" t="s">
        <v>26</v>
      </c>
      <c r="G31" s="3" t="s">
        <v>403</v>
      </c>
      <c r="H31" s="21" t="b">
        <v>1</v>
      </c>
      <c r="I31" s="10" t="s">
        <v>359</v>
      </c>
    </row>
    <row r="32" spans="1:9" ht="231" customHeight="1" x14ac:dyDescent="0.25">
      <c r="A32" s="2" t="s">
        <v>32</v>
      </c>
      <c r="B32" s="3" t="s">
        <v>33</v>
      </c>
      <c r="C32" s="2" t="s">
        <v>119</v>
      </c>
      <c r="D32" s="8" t="s">
        <v>285</v>
      </c>
      <c r="E32" s="8" t="s">
        <v>236</v>
      </c>
      <c r="F32" s="6" t="s">
        <v>26</v>
      </c>
      <c r="G32" s="3" t="s">
        <v>404</v>
      </c>
      <c r="H32" s="20" t="s">
        <v>476</v>
      </c>
      <c r="I32" s="10" t="s">
        <v>360</v>
      </c>
    </row>
    <row r="33" spans="1:9" ht="237.75" customHeight="1" x14ac:dyDescent="0.25">
      <c r="A33" s="2" t="s">
        <v>32</v>
      </c>
      <c r="B33" s="3" t="s">
        <v>33</v>
      </c>
      <c r="C33" s="2" t="s">
        <v>120</v>
      </c>
      <c r="D33" s="8" t="s">
        <v>286</v>
      </c>
      <c r="E33" s="8" t="s">
        <v>237</v>
      </c>
      <c r="F33" s="6" t="s">
        <v>26</v>
      </c>
      <c r="G33" s="3" t="s">
        <v>405</v>
      </c>
      <c r="H33" s="21" t="b">
        <v>1</v>
      </c>
      <c r="I33" s="10" t="s">
        <v>361</v>
      </c>
    </row>
    <row r="34" spans="1:9" x14ac:dyDescent="0.25">
      <c r="A34" s="31" t="s">
        <v>121</v>
      </c>
      <c r="B34" s="31"/>
      <c r="C34" s="31"/>
      <c r="D34" s="31"/>
      <c r="E34" s="31"/>
      <c r="F34" s="31"/>
      <c r="G34" s="31"/>
      <c r="H34" s="31"/>
      <c r="I34" s="31"/>
    </row>
    <row r="35" spans="1:9" ht="409.5" x14ac:dyDescent="0.25">
      <c r="A35" s="2" t="s">
        <v>34</v>
      </c>
      <c r="B35" s="3" t="s">
        <v>35</v>
      </c>
      <c r="C35" s="2" t="s">
        <v>122</v>
      </c>
      <c r="D35" s="8" t="s">
        <v>287</v>
      </c>
      <c r="E35" s="8" t="s">
        <v>238</v>
      </c>
      <c r="F35" s="6" t="s">
        <v>26</v>
      </c>
      <c r="G35" s="3" t="s">
        <v>406</v>
      </c>
      <c r="H35" s="21" t="b">
        <v>1</v>
      </c>
      <c r="I35" s="10" t="s">
        <v>362</v>
      </c>
    </row>
    <row r="36" spans="1:9" ht="409.5" x14ac:dyDescent="0.25">
      <c r="A36" s="2" t="s">
        <v>34</v>
      </c>
      <c r="B36" s="3" t="s">
        <v>35</v>
      </c>
      <c r="C36" s="2" t="s">
        <v>123</v>
      </c>
      <c r="D36" s="8" t="s">
        <v>288</v>
      </c>
      <c r="E36" s="8" t="s">
        <v>217</v>
      </c>
      <c r="F36" s="6" t="s">
        <v>26</v>
      </c>
      <c r="G36" s="3" t="s">
        <v>407</v>
      </c>
      <c r="H36" s="20" t="s">
        <v>476</v>
      </c>
      <c r="I36" s="10" t="s">
        <v>363</v>
      </c>
    </row>
    <row r="37" spans="1:9" ht="178.5" x14ac:dyDescent="0.25">
      <c r="A37" s="2" t="s">
        <v>34</v>
      </c>
      <c r="B37" s="3" t="s">
        <v>35</v>
      </c>
      <c r="C37" s="2" t="s">
        <v>124</v>
      </c>
      <c r="D37" s="8" t="s">
        <v>289</v>
      </c>
      <c r="E37" s="8" t="s">
        <v>239</v>
      </c>
      <c r="F37" s="6" t="s">
        <v>334</v>
      </c>
      <c r="G37" s="3" t="s">
        <v>312</v>
      </c>
      <c r="H37" s="21" t="b">
        <v>1</v>
      </c>
      <c r="I37" s="10" t="s">
        <v>364</v>
      </c>
    </row>
    <row r="38" spans="1:9" ht="229.5" x14ac:dyDescent="0.25">
      <c r="A38" s="2" t="s">
        <v>34</v>
      </c>
      <c r="B38" s="3" t="s">
        <v>35</v>
      </c>
      <c r="C38" s="2" t="s">
        <v>125</v>
      </c>
      <c r="D38" s="8" t="s">
        <v>290</v>
      </c>
      <c r="E38" s="8" t="s">
        <v>240</v>
      </c>
      <c r="F38" s="6" t="s">
        <v>334</v>
      </c>
      <c r="G38" s="3" t="s">
        <v>313</v>
      </c>
      <c r="H38" s="21" t="b">
        <v>1</v>
      </c>
      <c r="I38" s="10" t="s">
        <v>365</v>
      </c>
    </row>
    <row r="39" spans="1:9" ht="242.25" x14ac:dyDescent="0.25">
      <c r="A39" s="2" t="s">
        <v>34</v>
      </c>
      <c r="B39" s="3" t="s">
        <v>35</v>
      </c>
      <c r="C39" s="2" t="s">
        <v>126</v>
      </c>
      <c r="D39" s="8" t="s">
        <v>291</v>
      </c>
      <c r="E39" s="8" t="s">
        <v>241</v>
      </c>
      <c r="F39" s="6" t="s">
        <v>334</v>
      </c>
      <c r="G39" s="3" t="s">
        <v>314</v>
      </c>
      <c r="H39" s="21" t="b">
        <v>1</v>
      </c>
      <c r="I39" s="10" t="s">
        <v>366</v>
      </c>
    </row>
    <row r="40" spans="1:9" x14ac:dyDescent="0.25">
      <c r="A40" s="31" t="s">
        <v>127</v>
      </c>
      <c r="B40" s="31"/>
      <c r="C40" s="31"/>
      <c r="D40" s="31"/>
      <c r="E40" s="31"/>
      <c r="F40" s="31"/>
      <c r="G40" s="31"/>
      <c r="H40" s="31"/>
      <c r="I40" s="31"/>
    </row>
    <row r="41" spans="1:9" ht="127.5" x14ac:dyDescent="0.25">
      <c r="A41" s="2" t="s">
        <v>36</v>
      </c>
      <c r="B41" s="3" t="s">
        <v>37</v>
      </c>
      <c r="C41" s="2" t="s">
        <v>128</v>
      </c>
      <c r="D41" s="8" t="s">
        <v>292</v>
      </c>
      <c r="E41" s="8" t="s">
        <v>242</v>
      </c>
      <c r="F41" s="6" t="s">
        <v>38</v>
      </c>
      <c r="G41" s="3" t="s">
        <v>315</v>
      </c>
      <c r="H41" s="20" t="s">
        <v>476</v>
      </c>
      <c r="I41" s="10" t="s">
        <v>367</v>
      </c>
    </row>
    <row r="42" spans="1:9" ht="216.75" x14ac:dyDescent="0.25">
      <c r="A42" s="2" t="s">
        <v>36</v>
      </c>
      <c r="B42" s="3" t="s">
        <v>37</v>
      </c>
      <c r="C42" s="2" t="s">
        <v>129</v>
      </c>
      <c r="D42" s="8" t="s">
        <v>293</v>
      </c>
      <c r="E42" s="8" t="s">
        <v>243</v>
      </c>
      <c r="F42" s="6" t="s">
        <v>334</v>
      </c>
      <c r="G42" s="3" t="s">
        <v>316</v>
      </c>
      <c r="H42" s="21" t="b">
        <v>1</v>
      </c>
      <c r="I42" s="10" t="s">
        <v>368</v>
      </c>
    </row>
    <row r="43" spans="1:9" ht="165.75" x14ac:dyDescent="0.25">
      <c r="A43" s="2" t="s">
        <v>36</v>
      </c>
      <c r="B43" s="3" t="s">
        <v>37</v>
      </c>
      <c r="C43" s="2" t="s">
        <v>130</v>
      </c>
      <c r="D43" s="8" t="s">
        <v>294</v>
      </c>
      <c r="E43" s="8" t="s">
        <v>244</v>
      </c>
      <c r="F43" s="6" t="s">
        <v>334</v>
      </c>
      <c r="G43" s="3" t="s">
        <v>317</v>
      </c>
      <c r="H43" s="21" t="b">
        <v>1</v>
      </c>
      <c r="I43" s="10" t="s">
        <v>369</v>
      </c>
    </row>
    <row r="44" spans="1:9" ht="127.5" x14ac:dyDescent="0.25">
      <c r="A44" s="2" t="s">
        <v>36</v>
      </c>
      <c r="B44" s="3" t="s">
        <v>37</v>
      </c>
      <c r="C44" s="2" t="s">
        <v>131</v>
      </c>
      <c r="D44" s="8" t="s">
        <v>295</v>
      </c>
      <c r="E44" s="8" t="s">
        <v>245</v>
      </c>
      <c r="F44" s="6" t="s">
        <v>38</v>
      </c>
      <c r="G44" s="3" t="s">
        <v>318</v>
      </c>
      <c r="H44" s="20" t="s">
        <v>476</v>
      </c>
      <c r="I44" s="10" t="s">
        <v>370</v>
      </c>
    </row>
    <row r="45" spans="1:9" ht="153" x14ac:dyDescent="0.25">
      <c r="A45" s="2" t="s">
        <v>36</v>
      </c>
      <c r="B45" s="3" t="s">
        <v>37</v>
      </c>
      <c r="C45" s="2" t="s">
        <v>132</v>
      </c>
      <c r="D45" s="8" t="s">
        <v>296</v>
      </c>
      <c r="E45" s="8" t="s">
        <v>246</v>
      </c>
      <c r="F45" s="6" t="s">
        <v>334</v>
      </c>
      <c r="G45" s="3" t="s">
        <v>319</v>
      </c>
      <c r="H45" s="21" t="b">
        <v>1</v>
      </c>
      <c r="I45" s="10" t="s">
        <v>371</v>
      </c>
    </row>
    <row r="46" spans="1:9" ht="165.75" x14ac:dyDescent="0.25">
      <c r="A46" s="2" t="s">
        <v>36</v>
      </c>
      <c r="B46" s="3" t="s">
        <v>37</v>
      </c>
      <c r="C46" s="2" t="s">
        <v>133</v>
      </c>
      <c r="D46" s="8" t="s">
        <v>297</v>
      </c>
      <c r="E46" s="8" t="s">
        <v>247</v>
      </c>
      <c r="F46" s="6" t="s">
        <v>334</v>
      </c>
      <c r="G46" s="3" t="s">
        <v>320</v>
      </c>
      <c r="H46" s="21" t="b">
        <v>1</v>
      </c>
      <c r="I46" s="10" t="s">
        <v>372</v>
      </c>
    </row>
    <row r="47" spans="1:9" ht="178.5" x14ac:dyDescent="0.25">
      <c r="A47" s="2" t="s">
        <v>36</v>
      </c>
      <c r="B47" s="3" t="s">
        <v>37</v>
      </c>
      <c r="C47" s="2" t="s">
        <v>134</v>
      </c>
      <c r="D47" s="8" t="s">
        <v>298</v>
      </c>
      <c r="E47" s="8" t="s">
        <v>248</v>
      </c>
      <c r="F47" s="6" t="s">
        <v>334</v>
      </c>
      <c r="G47" s="3" t="s">
        <v>321</v>
      </c>
      <c r="H47" s="21" t="b">
        <v>1</v>
      </c>
      <c r="I47" s="10" t="s">
        <v>373</v>
      </c>
    </row>
    <row r="48" spans="1:9" x14ac:dyDescent="0.25">
      <c r="A48" s="31" t="s">
        <v>135</v>
      </c>
      <c r="B48" s="31"/>
      <c r="C48" s="31"/>
      <c r="D48" s="31"/>
      <c r="E48" s="31"/>
      <c r="F48" s="31"/>
      <c r="G48" s="31"/>
      <c r="H48" s="31"/>
      <c r="I48" s="31"/>
    </row>
    <row r="49" spans="1:9" ht="119.25" customHeight="1" x14ac:dyDescent="0.25">
      <c r="A49" s="2" t="s">
        <v>39</v>
      </c>
      <c r="B49" s="3" t="s">
        <v>40</v>
      </c>
      <c r="C49" s="2" t="s">
        <v>136</v>
      </c>
      <c r="D49" s="8" t="s">
        <v>299</v>
      </c>
      <c r="E49" s="8" t="s">
        <v>249</v>
      </c>
      <c r="F49" s="6" t="s">
        <v>38</v>
      </c>
      <c r="G49" s="3" t="s">
        <v>322</v>
      </c>
      <c r="H49" s="20" t="s">
        <v>335</v>
      </c>
      <c r="I49" s="10" t="s">
        <v>374</v>
      </c>
    </row>
    <row r="50" spans="1:9" ht="191.25" x14ac:dyDescent="0.25">
      <c r="A50" s="2" t="s">
        <v>39</v>
      </c>
      <c r="B50" s="3" t="s">
        <v>40</v>
      </c>
      <c r="C50" s="2" t="s">
        <v>137</v>
      </c>
      <c r="D50" s="8" t="s">
        <v>300</v>
      </c>
      <c r="E50" s="8" t="s">
        <v>250</v>
      </c>
      <c r="F50" s="6" t="s">
        <v>334</v>
      </c>
      <c r="G50" s="3" t="s">
        <v>323</v>
      </c>
      <c r="H50" s="21" t="b">
        <v>1</v>
      </c>
      <c r="I50" s="10" t="s">
        <v>375</v>
      </c>
    </row>
    <row r="51" spans="1:9" ht="165.75" x14ac:dyDescent="0.25">
      <c r="A51" s="2" t="s">
        <v>39</v>
      </c>
      <c r="B51" s="3" t="s">
        <v>40</v>
      </c>
      <c r="C51" s="2" t="s">
        <v>138</v>
      </c>
      <c r="D51" s="8" t="s">
        <v>301</v>
      </c>
      <c r="E51" s="8" t="s">
        <v>251</v>
      </c>
      <c r="F51" s="6" t="s">
        <v>334</v>
      </c>
      <c r="G51" s="3" t="s">
        <v>324</v>
      </c>
      <c r="H51" s="21" t="b">
        <v>1</v>
      </c>
      <c r="I51" s="10" t="s">
        <v>376</v>
      </c>
    </row>
    <row r="52" spans="1:9" ht="127.5" x14ac:dyDescent="0.25">
      <c r="A52" s="2" t="s">
        <v>39</v>
      </c>
      <c r="B52" s="3" t="s">
        <v>40</v>
      </c>
      <c r="C52" s="2" t="s">
        <v>139</v>
      </c>
      <c r="D52" s="8" t="s">
        <v>302</v>
      </c>
      <c r="E52" s="8" t="s">
        <v>252</v>
      </c>
      <c r="F52" s="6" t="s">
        <v>38</v>
      </c>
      <c r="G52" s="3" t="s">
        <v>325</v>
      </c>
      <c r="H52" s="21" t="b">
        <v>1</v>
      </c>
      <c r="I52" s="10" t="s">
        <v>377</v>
      </c>
    </row>
    <row r="53" spans="1:9" x14ac:dyDescent="0.25">
      <c r="A53" s="31" t="s">
        <v>140</v>
      </c>
      <c r="B53" s="31"/>
      <c r="C53" s="31"/>
      <c r="D53" s="31"/>
      <c r="E53" s="31"/>
      <c r="F53" s="31"/>
      <c r="G53" s="31"/>
      <c r="H53" s="31"/>
      <c r="I53" s="31"/>
    </row>
    <row r="54" spans="1:9" ht="191.25" x14ac:dyDescent="0.25">
      <c r="A54" s="2" t="s">
        <v>41</v>
      </c>
      <c r="B54" s="3" t="s">
        <v>42</v>
      </c>
      <c r="C54" s="2" t="s">
        <v>141</v>
      </c>
      <c r="D54" s="8" t="s">
        <v>303</v>
      </c>
      <c r="E54" s="8" t="s">
        <v>253</v>
      </c>
      <c r="F54" s="6" t="s">
        <v>334</v>
      </c>
      <c r="G54" s="8" t="s">
        <v>326</v>
      </c>
      <c r="H54" s="21" t="b">
        <v>1</v>
      </c>
      <c r="I54" s="10" t="s">
        <v>378</v>
      </c>
    </row>
    <row r="55" spans="1:9" ht="153" x14ac:dyDescent="0.25">
      <c r="A55" s="2" t="s">
        <v>41</v>
      </c>
      <c r="B55" s="3" t="s">
        <v>42</v>
      </c>
      <c r="C55" s="2" t="s">
        <v>142</v>
      </c>
      <c r="D55" s="8" t="s">
        <v>304</v>
      </c>
      <c r="E55" s="8" t="s">
        <v>254</v>
      </c>
      <c r="F55" s="6" t="s">
        <v>334</v>
      </c>
      <c r="G55" s="8" t="s">
        <v>327</v>
      </c>
      <c r="H55" s="21" t="b">
        <v>1</v>
      </c>
      <c r="I55" s="10" t="s">
        <v>379</v>
      </c>
    </row>
    <row r="56" spans="1:9" x14ac:dyDescent="0.25">
      <c r="A56" s="31" t="s">
        <v>143</v>
      </c>
      <c r="B56" s="31"/>
      <c r="C56" s="31"/>
      <c r="D56" s="31"/>
      <c r="E56" s="31"/>
      <c r="F56" s="31"/>
      <c r="G56" s="31"/>
      <c r="H56" s="31"/>
      <c r="I56" s="31"/>
    </row>
    <row r="57" spans="1:9" ht="153" x14ac:dyDescent="0.25">
      <c r="A57" s="2" t="s">
        <v>43</v>
      </c>
      <c r="B57" s="3" t="s">
        <v>44</v>
      </c>
      <c r="C57" s="2" t="s">
        <v>144</v>
      </c>
      <c r="D57" s="8" t="s">
        <v>305</v>
      </c>
      <c r="E57" s="8" t="s">
        <v>255</v>
      </c>
      <c r="F57" s="6" t="s">
        <v>38</v>
      </c>
      <c r="G57" s="3" t="s">
        <v>328</v>
      </c>
      <c r="H57" s="20" t="s">
        <v>335</v>
      </c>
      <c r="I57" s="10" t="s">
        <v>380</v>
      </c>
    </row>
    <row r="58" spans="1:9" ht="140.25" x14ac:dyDescent="0.25">
      <c r="A58" s="2" t="s">
        <v>43</v>
      </c>
      <c r="B58" s="3" t="s">
        <v>44</v>
      </c>
      <c r="C58" s="2" t="s">
        <v>145</v>
      </c>
      <c r="D58" s="8" t="s">
        <v>306</v>
      </c>
      <c r="E58" s="8" t="s">
        <v>256</v>
      </c>
      <c r="F58" s="6" t="s">
        <v>38</v>
      </c>
      <c r="G58" s="3" t="s">
        <v>329</v>
      </c>
      <c r="H58" s="21" t="b">
        <v>1</v>
      </c>
      <c r="I58" s="10" t="s">
        <v>381</v>
      </c>
    </row>
    <row r="59" spans="1:9" ht="229.5" x14ac:dyDescent="0.25">
      <c r="A59" s="2" t="s">
        <v>43</v>
      </c>
      <c r="B59" s="3" t="s">
        <v>44</v>
      </c>
      <c r="C59" s="2" t="s">
        <v>146</v>
      </c>
      <c r="D59" s="8" t="s">
        <v>307</v>
      </c>
      <c r="E59" s="8" t="s">
        <v>257</v>
      </c>
      <c r="F59" s="6" t="s">
        <v>26</v>
      </c>
      <c r="G59" s="3" t="s">
        <v>408</v>
      </c>
      <c r="H59" s="21" t="b">
        <v>1</v>
      </c>
      <c r="I59" s="10" t="s">
        <v>382</v>
      </c>
    </row>
    <row r="60" spans="1:9" ht="191.25" x14ac:dyDescent="0.25">
      <c r="A60" s="2" t="s">
        <v>43</v>
      </c>
      <c r="B60" s="3" t="s">
        <v>44</v>
      </c>
      <c r="C60" s="2" t="s">
        <v>147</v>
      </c>
      <c r="D60" s="8" t="s">
        <v>308</v>
      </c>
      <c r="E60" s="8" t="s">
        <v>258</v>
      </c>
      <c r="F60" s="6" t="s">
        <v>38</v>
      </c>
      <c r="G60" s="3" t="s">
        <v>330</v>
      </c>
      <c r="H60" s="20" t="s">
        <v>335</v>
      </c>
      <c r="I60" s="10" t="s">
        <v>383</v>
      </c>
    </row>
    <row r="61" spans="1:9" x14ac:dyDescent="0.25">
      <c r="A61" s="31" t="s">
        <v>148</v>
      </c>
      <c r="B61" s="31"/>
      <c r="C61" s="31"/>
      <c r="D61" s="31"/>
      <c r="E61" s="31"/>
      <c r="F61" s="31"/>
      <c r="G61" s="31"/>
      <c r="H61" s="31"/>
      <c r="I61" s="31"/>
    </row>
    <row r="62" spans="1:9" ht="306" x14ac:dyDescent="0.25">
      <c r="A62" s="2" t="s">
        <v>45</v>
      </c>
      <c r="B62" s="3" t="s">
        <v>46</v>
      </c>
      <c r="C62" s="2" t="s">
        <v>149</v>
      </c>
      <c r="D62" s="8" t="s">
        <v>309</v>
      </c>
      <c r="E62" s="8" t="s">
        <v>259</v>
      </c>
      <c r="F62" s="6" t="s">
        <v>334</v>
      </c>
      <c r="G62" s="8" t="s">
        <v>331</v>
      </c>
      <c r="H62" s="21" t="b">
        <v>1</v>
      </c>
      <c r="I62" s="10" t="s">
        <v>459</v>
      </c>
    </row>
    <row r="63" spans="1:9" ht="140.25" x14ac:dyDescent="0.25">
      <c r="A63" s="2" t="s">
        <v>45</v>
      </c>
      <c r="B63" s="3" t="s">
        <v>46</v>
      </c>
      <c r="C63" s="2" t="s">
        <v>150</v>
      </c>
      <c r="D63" s="8" t="s">
        <v>310</v>
      </c>
      <c r="E63" s="8" t="s">
        <v>260</v>
      </c>
      <c r="F63" s="6" t="s">
        <v>38</v>
      </c>
      <c r="G63" s="8" t="s">
        <v>332</v>
      </c>
      <c r="H63" s="21" t="b">
        <v>1</v>
      </c>
      <c r="I63" s="10" t="s">
        <v>384</v>
      </c>
    </row>
    <row r="64" spans="1:9" ht="242.25" x14ac:dyDescent="0.25">
      <c r="A64" s="2" t="s">
        <v>45</v>
      </c>
      <c r="B64" s="3" t="s">
        <v>46</v>
      </c>
      <c r="C64" s="2" t="s">
        <v>151</v>
      </c>
      <c r="D64" s="8" t="s">
        <v>311</v>
      </c>
      <c r="E64" s="8" t="s">
        <v>261</v>
      </c>
      <c r="F64" s="6" t="s">
        <v>38</v>
      </c>
      <c r="G64" s="8" t="s">
        <v>333</v>
      </c>
      <c r="H64" s="21" t="b">
        <v>1</v>
      </c>
      <c r="I64" s="10" t="s">
        <v>385</v>
      </c>
    </row>
  </sheetData>
  <mergeCells count="11">
    <mergeCell ref="A61:I61"/>
    <mergeCell ref="A34:I34"/>
    <mergeCell ref="A40:I40"/>
    <mergeCell ref="A48:I48"/>
    <mergeCell ref="A53:I53"/>
    <mergeCell ref="A56:I56"/>
    <mergeCell ref="A1:I1"/>
    <mergeCell ref="A4:I4"/>
    <mergeCell ref="A12:I12"/>
    <mergeCell ref="A20:I20"/>
    <mergeCell ref="A27:I27"/>
  </mergeCells>
  <conditionalFormatting sqref="E5:F11">
    <cfRule type="expression" dxfId="59" priority="59">
      <formula>COUNTIF(#REF!,INDIRECT(_xlfn.CONCAT(CHAR(66),ROW())))&gt;0</formula>
    </cfRule>
    <cfRule type="expression" dxfId="58" priority="58">
      <formula>COUNTIF(#REF!,INDIRECT(_xlfn.CONCAT(CHAR(66),ROW())))&gt;0</formula>
    </cfRule>
    <cfRule type="expression" dxfId="57" priority="57">
      <formula>AND(COUNTIF(#REF!,INDIRECT(_xlfn.CONCAT(CHAR(66),ROW())))&gt;0,COUNTIF(#REF!,INDIRECT(_xlfn.CONCAT(CHAR(66),ROW())))&gt;0)</formula>
    </cfRule>
    <cfRule type="expression" dxfId="56" priority="56">
      <formula>AND(COUNTIF(#REF!,INDIRECT(_xlfn.CONCAT(CHAR(66),ROW())))&gt;0,COUNTIF(#REF!,INDIRECT(_xlfn.CONCAT(CHAR(66),ROW())))&gt;0)</formula>
    </cfRule>
    <cfRule type="expression" dxfId="55" priority="60">
      <formula>COUNTIF(#REF!,INDIRECT(_xlfn.CONCAT(CHAR(66),ROW())))&gt;0</formula>
    </cfRule>
  </conditionalFormatting>
  <conditionalFormatting sqref="E13:F19">
    <cfRule type="expression" dxfId="54" priority="53">
      <formula>COUNTIF(#REF!,INDIRECT(_xlfn.CONCAT(CHAR(66),ROW())))&gt;0</formula>
    </cfRule>
    <cfRule type="expression" dxfId="53" priority="55">
      <formula>COUNTIF(#REF!,INDIRECT(_xlfn.CONCAT(CHAR(66),ROW())))&gt;0</formula>
    </cfRule>
    <cfRule type="expression" dxfId="52" priority="54">
      <formula>COUNTIF(#REF!,INDIRECT(_xlfn.CONCAT(CHAR(66),ROW())))&gt;0</formula>
    </cfRule>
    <cfRule type="expression" dxfId="51" priority="52">
      <formula>AND(COUNTIF(#REF!,INDIRECT(_xlfn.CONCAT(CHAR(66),ROW())))&gt;0,COUNTIF(#REF!,INDIRECT(_xlfn.CONCAT(CHAR(66),ROW())))&gt;0)</formula>
    </cfRule>
    <cfRule type="expression" dxfId="50" priority="51">
      <formula>AND(COUNTIF(#REF!,INDIRECT(_xlfn.CONCAT(CHAR(66),ROW())))&gt;0,COUNTIF(#REF!,INDIRECT(_xlfn.CONCAT(CHAR(66),ROW())))&gt;0)</formula>
    </cfRule>
  </conditionalFormatting>
  <conditionalFormatting sqref="E21:F26">
    <cfRule type="expression" dxfId="49" priority="46">
      <formula>AND(COUNTIF(#REF!,INDIRECT(_xlfn.CONCAT(CHAR(66),ROW())))&gt;0,COUNTIF(#REF!,INDIRECT(_xlfn.CONCAT(CHAR(66),ROW())))&gt;0)</formula>
    </cfRule>
    <cfRule type="expression" dxfId="48" priority="50">
      <formula>COUNTIF(#REF!,INDIRECT(_xlfn.CONCAT(CHAR(66),ROW())))&gt;0</formula>
    </cfRule>
    <cfRule type="expression" dxfId="47" priority="49">
      <formula>COUNTIF(#REF!,INDIRECT(_xlfn.CONCAT(CHAR(66),ROW())))&gt;0</formula>
    </cfRule>
    <cfRule type="expression" dxfId="46" priority="48">
      <formula>COUNTIF(#REF!,INDIRECT(_xlfn.CONCAT(CHAR(66),ROW())))&gt;0</formula>
    </cfRule>
    <cfRule type="expression" dxfId="45" priority="47">
      <formula>AND(COUNTIF(#REF!,INDIRECT(_xlfn.CONCAT(CHAR(66),ROW())))&gt;0,COUNTIF(#REF!,INDIRECT(_xlfn.CONCAT(CHAR(66),ROW())))&gt;0)</formula>
    </cfRule>
  </conditionalFormatting>
  <conditionalFormatting sqref="E28:F33">
    <cfRule type="expression" dxfId="44" priority="41">
      <formula>AND(COUNTIF(#REF!,INDIRECT(_xlfn.CONCAT(CHAR(66),ROW())))&gt;0,COUNTIF(#REF!,INDIRECT(_xlfn.CONCAT(CHAR(66),ROW())))&gt;0)</formula>
    </cfRule>
    <cfRule type="expression" dxfId="43" priority="45">
      <formula>COUNTIF(#REF!,INDIRECT(_xlfn.CONCAT(CHAR(66),ROW())))&gt;0</formula>
    </cfRule>
    <cfRule type="expression" dxfId="42" priority="44">
      <formula>COUNTIF(#REF!,INDIRECT(_xlfn.CONCAT(CHAR(66),ROW())))&gt;0</formula>
    </cfRule>
    <cfRule type="expression" dxfId="41" priority="43">
      <formula>COUNTIF(#REF!,INDIRECT(_xlfn.CONCAT(CHAR(66),ROW())))&gt;0</formula>
    </cfRule>
    <cfRule type="expression" dxfId="40" priority="42">
      <formula>AND(COUNTIF(#REF!,INDIRECT(_xlfn.CONCAT(CHAR(66),ROW())))&gt;0,COUNTIF(#REF!,INDIRECT(_xlfn.CONCAT(CHAR(66),ROW())))&gt;0)</formula>
    </cfRule>
  </conditionalFormatting>
  <conditionalFormatting sqref="E35:F39">
    <cfRule type="expression" dxfId="39" priority="40">
      <formula>COUNTIF(#REF!,INDIRECT(_xlfn.CONCAT(CHAR(66),ROW())))&gt;0</formula>
    </cfRule>
    <cfRule type="expression" dxfId="38" priority="39">
      <formula>COUNTIF(#REF!,INDIRECT(_xlfn.CONCAT(CHAR(66),ROW())))&gt;0</formula>
    </cfRule>
    <cfRule type="expression" dxfId="37" priority="37">
      <formula>AND(COUNTIF(#REF!,INDIRECT(_xlfn.CONCAT(CHAR(66),ROW())))&gt;0,COUNTIF(#REF!,INDIRECT(_xlfn.CONCAT(CHAR(66),ROW())))&gt;0)</formula>
    </cfRule>
    <cfRule type="expression" dxfId="36" priority="36">
      <formula>AND(COUNTIF(#REF!,INDIRECT(_xlfn.CONCAT(CHAR(66),ROW())))&gt;0,COUNTIF(#REF!,INDIRECT(_xlfn.CONCAT(CHAR(66),ROW())))&gt;0)</formula>
    </cfRule>
    <cfRule type="expression" dxfId="35" priority="38">
      <formula>COUNTIF(#REF!,INDIRECT(_xlfn.CONCAT(CHAR(66),ROW())))&gt;0</formula>
    </cfRule>
  </conditionalFormatting>
  <conditionalFormatting sqref="E41:F47">
    <cfRule type="expression" dxfId="34" priority="31">
      <formula>AND(COUNTIF(#REF!,INDIRECT(_xlfn.CONCAT(CHAR(66),ROW())))&gt;0,COUNTIF(#REF!,INDIRECT(_xlfn.CONCAT(CHAR(66),ROW())))&gt;0)</formula>
    </cfRule>
    <cfRule type="expression" dxfId="33" priority="32">
      <formula>AND(COUNTIF(#REF!,INDIRECT(_xlfn.CONCAT(CHAR(66),ROW())))&gt;0,COUNTIF(#REF!,INDIRECT(_xlfn.CONCAT(CHAR(66),ROW())))&gt;0)</formula>
    </cfRule>
    <cfRule type="expression" dxfId="32" priority="33">
      <formula>COUNTIF(#REF!,INDIRECT(_xlfn.CONCAT(CHAR(66),ROW())))&gt;0</formula>
    </cfRule>
    <cfRule type="expression" dxfId="31" priority="34">
      <formula>COUNTIF(#REF!,INDIRECT(_xlfn.CONCAT(CHAR(66),ROW())))&gt;0</formula>
    </cfRule>
    <cfRule type="expression" dxfId="30" priority="35">
      <formula>COUNTIF(#REF!,INDIRECT(_xlfn.CONCAT(CHAR(66),ROW())))&gt;0</formula>
    </cfRule>
  </conditionalFormatting>
  <conditionalFormatting sqref="E49:F52">
    <cfRule type="expression" dxfId="29" priority="30">
      <formula>COUNTIF(#REF!,INDIRECT(_xlfn.CONCAT(CHAR(66),ROW())))&gt;0</formula>
    </cfRule>
    <cfRule type="expression" dxfId="28" priority="29">
      <formula>COUNTIF(#REF!,INDIRECT(_xlfn.CONCAT(CHAR(66),ROW())))&gt;0</formula>
    </cfRule>
    <cfRule type="expression" dxfId="27" priority="28">
      <formula>COUNTIF(#REF!,INDIRECT(_xlfn.CONCAT(CHAR(66),ROW())))&gt;0</formula>
    </cfRule>
    <cfRule type="expression" dxfId="26" priority="27">
      <formula>AND(COUNTIF(#REF!,INDIRECT(_xlfn.CONCAT(CHAR(66),ROW())))&gt;0,COUNTIF(#REF!,INDIRECT(_xlfn.CONCAT(CHAR(66),ROW())))&gt;0)</formula>
    </cfRule>
    <cfRule type="expression" dxfId="25" priority="26">
      <formula>AND(COUNTIF(#REF!,INDIRECT(_xlfn.CONCAT(CHAR(66),ROW())))&gt;0,COUNTIF(#REF!,INDIRECT(_xlfn.CONCAT(CHAR(66),ROW())))&gt;0)</formula>
    </cfRule>
  </conditionalFormatting>
  <conditionalFormatting sqref="E54:F55">
    <cfRule type="expression" dxfId="24" priority="24">
      <formula>COUNTIF(#REF!,INDIRECT(_xlfn.CONCAT(CHAR(66),ROW())))&gt;0</formula>
    </cfRule>
    <cfRule type="expression" dxfId="23" priority="25">
      <formula>COUNTIF(#REF!,INDIRECT(_xlfn.CONCAT(CHAR(66),ROW())))&gt;0</formula>
    </cfRule>
    <cfRule type="expression" dxfId="22" priority="23">
      <formula>COUNTIF(#REF!,INDIRECT(_xlfn.CONCAT(CHAR(66),ROW())))&gt;0</formula>
    </cfRule>
    <cfRule type="expression" dxfId="21" priority="22">
      <formula>AND(COUNTIF(#REF!,INDIRECT(_xlfn.CONCAT(CHAR(66),ROW())))&gt;0,COUNTIF(#REF!,INDIRECT(_xlfn.CONCAT(CHAR(66),ROW())))&gt;0)</formula>
    </cfRule>
    <cfRule type="expression" dxfId="20" priority="21">
      <formula>AND(COUNTIF(#REF!,INDIRECT(_xlfn.CONCAT(CHAR(66),ROW())))&gt;0,COUNTIF(#REF!,INDIRECT(_xlfn.CONCAT(CHAR(66),ROW())))&gt;0)</formula>
    </cfRule>
  </conditionalFormatting>
  <conditionalFormatting sqref="E57:F60">
    <cfRule type="expression" dxfId="19" priority="20">
      <formula>COUNTIF(#REF!,INDIRECT(_xlfn.CONCAT(CHAR(66),ROW())))&gt;0</formula>
    </cfRule>
    <cfRule type="expression" dxfId="18" priority="19">
      <formula>COUNTIF(#REF!,INDIRECT(_xlfn.CONCAT(CHAR(66),ROW())))&gt;0</formula>
    </cfRule>
    <cfRule type="expression" dxfId="17" priority="18">
      <formula>COUNTIF(#REF!,INDIRECT(_xlfn.CONCAT(CHAR(66),ROW())))&gt;0</formula>
    </cfRule>
    <cfRule type="expression" dxfId="16" priority="17">
      <formula>AND(COUNTIF(#REF!,INDIRECT(_xlfn.CONCAT(CHAR(66),ROW())))&gt;0,COUNTIF(#REF!,INDIRECT(_xlfn.CONCAT(CHAR(66),ROW())))&gt;0)</formula>
    </cfRule>
    <cfRule type="expression" dxfId="15" priority="16">
      <formula>AND(COUNTIF(#REF!,INDIRECT(_xlfn.CONCAT(CHAR(66),ROW())))&gt;0,COUNTIF(#REF!,INDIRECT(_xlfn.CONCAT(CHAR(66),ROW())))&gt;0)</formula>
    </cfRule>
  </conditionalFormatting>
  <conditionalFormatting sqref="E62:F64">
    <cfRule type="expression" dxfId="14" priority="8">
      <formula>COUNTIF(#REF!,INDIRECT(_xlfn.CONCAT(CHAR(66),ROW())))&gt;0</formula>
    </cfRule>
    <cfRule type="expression" dxfId="13" priority="10">
      <formula>COUNTIF(#REF!,INDIRECT(_xlfn.CONCAT(CHAR(66),ROW())))&gt;0</formula>
    </cfRule>
    <cfRule type="expression" dxfId="12" priority="9">
      <formula>COUNTIF(#REF!,INDIRECT(_xlfn.CONCAT(CHAR(66),ROW())))&gt;0</formula>
    </cfRule>
    <cfRule type="expression" dxfId="11" priority="7">
      <formula>AND(COUNTIF(#REF!,INDIRECT(_xlfn.CONCAT(CHAR(66),ROW())))&gt;0,COUNTIF(#REF!,INDIRECT(_xlfn.CONCAT(CHAR(66),ROW())))&gt;0)</formula>
    </cfRule>
    <cfRule type="expression" dxfId="10" priority="6">
      <formula>AND(COUNTIF(#REF!,INDIRECT(_xlfn.CONCAT(CHAR(66),ROW())))&gt;0,COUNTIF(#REF!,INDIRECT(_xlfn.CONCAT(CHAR(66),ROW())))&gt;0)</formula>
    </cfRule>
  </conditionalFormatting>
  <conditionalFormatting sqref="F57:F60">
    <cfRule type="expression" dxfId="9" priority="14">
      <formula>COUNTIF(#REF!,INDIRECT(_xlfn.CONCAT(CHAR(66),ROW())))&gt;0</formula>
    </cfRule>
    <cfRule type="expression" dxfId="8" priority="15">
      <formula>COUNTIF(#REF!,INDIRECT(_xlfn.CONCAT(CHAR(66),ROW())))&gt;0</formula>
    </cfRule>
    <cfRule type="expression" dxfId="7" priority="13">
      <formula>COUNTIF(#REF!,INDIRECT(_xlfn.CONCAT(CHAR(66),ROW())))&gt;0</formula>
    </cfRule>
    <cfRule type="expression" dxfId="6" priority="12">
      <formula>AND(COUNTIF(#REF!,INDIRECT(_xlfn.CONCAT(CHAR(66),ROW())))&gt;0,COUNTIF(#REF!,INDIRECT(_xlfn.CONCAT(CHAR(66),ROW())))&gt;0)</formula>
    </cfRule>
    <cfRule type="expression" dxfId="5" priority="11">
      <formula>AND(COUNTIF(#REF!,INDIRECT(_xlfn.CONCAT(CHAR(66),ROW())))&gt;0,COUNTIF(#REF!,INDIRECT(_xlfn.CONCAT(CHAR(66),ROW())))&gt;0)</formula>
    </cfRule>
  </conditionalFormatting>
  <conditionalFormatting sqref="F62">
    <cfRule type="expression" dxfId="4" priority="2">
      <formula>AND(COUNTIF(#REF!,INDIRECT(_xlfn.CONCAT(CHAR(66),ROW())))&gt;0,COUNTIF(#REF!,INDIRECT(_xlfn.CONCAT(CHAR(66),ROW())))&gt;0)</formula>
    </cfRule>
    <cfRule type="expression" dxfId="3" priority="3">
      <formula>COUNTIF(#REF!,INDIRECT(_xlfn.CONCAT(CHAR(66),ROW())))&gt;0</formula>
    </cfRule>
    <cfRule type="expression" dxfId="2" priority="4">
      <formula>COUNTIF(#REF!,INDIRECT(_xlfn.CONCAT(CHAR(66),ROW())))&gt;0</formula>
    </cfRule>
    <cfRule type="expression" dxfId="1" priority="5">
      <formula>COUNTIF(#REF!,INDIRECT(_xlfn.CONCAT(CHAR(66),ROW())))&gt;0</formula>
    </cfRule>
    <cfRule type="expression" dxfId="0" priority="1">
      <formula>AND(COUNTIF(#REF!,INDIRECT(_xlfn.CONCAT(CHAR(66),ROW())))&gt;0,COUNTIF(#REF!,INDIRECT(_xlfn.CONCAT(CHAR(66),ROW())))&gt;0)</formula>
    </cfRule>
  </conditionalFormatting>
  <dataValidations count="4">
    <dataValidation type="list" allowBlank="1" showInputMessage="1" showErrorMessage="1" sqref="F35:F36 F5:F11 F13:F19 F21:F26 F28:F33" xr:uid="{8C394EFF-A38A-4C6B-93C1-58ABD041EBA1}">
      <formula1>"Fully Automated, Partially Automated, Manual"</formula1>
    </dataValidation>
    <dataValidation type="list" allowBlank="1" showInputMessage="1" showErrorMessage="1" sqref="F37:F39 F41:F47 F49:F52 F54:F55 F57:F60 F62:F64" xr:uid="{8C44EF14-3383-4AAC-BB52-83126844D67A}">
      <formula1>"Fully Automated, Partially Automated, Manual,Not Applicable"</formula1>
    </dataValidation>
    <dataValidation type="list" allowBlank="1" showInputMessage="1" showErrorMessage="1" sqref="H62:H64 H57:H60 H54:H55 H49:H52" xr:uid="{E2302A58-425A-4995-8495-84187DAB59B5}">
      <formula1>"True,False,Partial,Not Applicable"</formula1>
    </dataValidation>
    <dataValidation type="list" allowBlank="1" showInputMessage="1" showErrorMessage="1" sqref="H5:H11 H13:H19 H21:H26 H28:H33 H35:H39 H41:H47" xr:uid="{5D175464-DAB7-443D-832F-31B88457D9C0}">
      <formula1>"TRUE,FALSE,PARTIAL,Not Applicable"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topLeftCell="A14" workbookViewId="0">
      <selection activeCell="D18" sqref="D18:D22"/>
    </sheetView>
  </sheetViews>
  <sheetFormatPr defaultRowHeight="15" x14ac:dyDescent="0.25"/>
  <cols>
    <col min="1" max="2" width="20.7109375" customWidth="1"/>
    <col min="3" max="3" width="80.7109375" customWidth="1"/>
    <col min="4" max="4" width="20.7109375" customWidth="1"/>
    <col min="5" max="5" width="70.7109375" customWidth="1"/>
    <col min="6" max="6" width="30.7109375" customWidth="1"/>
  </cols>
  <sheetData>
    <row r="1" spans="1:6" ht="24.95" customHeight="1" x14ac:dyDescent="0.35">
      <c r="A1" s="22" t="s">
        <v>152</v>
      </c>
      <c r="B1" s="22"/>
      <c r="C1" s="22"/>
      <c r="D1" s="22"/>
      <c r="E1" s="22"/>
      <c r="F1" s="22"/>
    </row>
    <row r="2" spans="1:6" ht="20.100000000000001" customHeight="1" x14ac:dyDescent="0.25"/>
    <row r="3" spans="1:6" ht="20.100000000000001" customHeight="1" x14ac:dyDescent="0.25">
      <c r="A3" s="31" t="s">
        <v>153</v>
      </c>
      <c r="B3" s="31"/>
      <c r="C3" s="31"/>
      <c r="D3" s="31"/>
      <c r="E3" s="31"/>
      <c r="F3" s="31"/>
    </row>
    <row r="4" spans="1:6" x14ac:dyDescent="0.25">
      <c r="A4" s="5" t="s">
        <v>154</v>
      </c>
      <c r="B4" s="26" t="s">
        <v>155</v>
      </c>
      <c r="C4" s="26"/>
      <c r="D4" s="26"/>
      <c r="E4" s="26"/>
      <c r="F4" s="26"/>
    </row>
    <row r="5" spans="1:6" x14ac:dyDescent="0.25">
      <c r="A5" s="5" t="s">
        <v>156</v>
      </c>
      <c r="B5" s="26" t="s">
        <v>424</v>
      </c>
      <c r="C5" s="26"/>
      <c r="D5" s="26"/>
      <c r="E5" s="26"/>
      <c r="F5" s="26"/>
    </row>
    <row r="6" spans="1:6" x14ac:dyDescent="0.25">
      <c r="A6" s="5" t="s">
        <v>157</v>
      </c>
      <c r="B6" s="12" t="s">
        <v>158</v>
      </c>
    </row>
    <row r="7" spans="1:6" x14ac:dyDescent="0.25">
      <c r="A7" s="5" t="s">
        <v>159</v>
      </c>
      <c r="B7" s="26" t="s">
        <v>425</v>
      </c>
      <c r="C7" s="26"/>
      <c r="D7" s="26"/>
      <c r="E7" s="26"/>
      <c r="F7" s="26"/>
    </row>
    <row r="8" spans="1:6" x14ac:dyDescent="0.25">
      <c r="A8" s="5" t="s">
        <v>160</v>
      </c>
      <c r="B8" s="26" t="s">
        <v>161</v>
      </c>
      <c r="C8" s="26"/>
      <c r="D8" s="26"/>
      <c r="E8" s="26"/>
      <c r="F8" s="26"/>
    </row>
    <row r="10" spans="1:6" x14ac:dyDescent="0.25">
      <c r="A10" s="4" t="s">
        <v>162</v>
      </c>
      <c r="B10" s="4" t="s">
        <v>163</v>
      </c>
      <c r="C10" s="4" t="s">
        <v>164</v>
      </c>
      <c r="D10" s="4" t="s">
        <v>90</v>
      </c>
      <c r="E10" s="4" t="s">
        <v>89</v>
      </c>
      <c r="F10" s="4" t="s">
        <v>165</v>
      </c>
    </row>
    <row r="11" spans="1:6" x14ac:dyDescent="0.25">
      <c r="A11" s="31" t="s">
        <v>166</v>
      </c>
      <c r="B11" s="31"/>
      <c r="C11" s="31"/>
      <c r="D11" s="31"/>
      <c r="E11" s="31"/>
      <c r="F11" s="31"/>
    </row>
    <row r="12" spans="1:6" ht="69" customHeight="1" x14ac:dyDescent="0.25">
      <c r="A12" s="2" t="s">
        <v>166</v>
      </c>
      <c r="B12" s="2" t="s">
        <v>167</v>
      </c>
      <c r="C12" s="3" t="s">
        <v>168</v>
      </c>
      <c r="D12" s="19" t="b">
        <v>1</v>
      </c>
      <c r="E12" s="3" t="s">
        <v>423</v>
      </c>
      <c r="F12" s="3" t="s">
        <v>517</v>
      </c>
    </row>
    <row r="13" spans="1:6" ht="87.75" customHeight="1" x14ac:dyDescent="0.25">
      <c r="A13" s="2" t="s">
        <v>166</v>
      </c>
      <c r="B13" s="2" t="s">
        <v>169</v>
      </c>
      <c r="C13" s="3" t="s">
        <v>170</v>
      </c>
      <c r="D13" s="19" t="b">
        <v>1</v>
      </c>
      <c r="E13" s="3" t="s">
        <v>422</v>
      </c>
      <c r="F13" s="3" t="s">
        <v>517</v>
      </c>
    </row>
    <row r="14" spans="1:6" ht="101.25" customHeight="1" x14ac:dyDescent="0.25">
      <c r="A14" s="2" t="s">
        <v>166</v>
      </c>
      <c r="B14" s="2" t="s">
        <v>171</v>
      </c>
      <c r="C14" s="3" t="s">
        <v>172</v>
      </c>
      <c r="D14" s="19" t="b">
        <v>1</v>
      </c>
      <c r="E14" s="3" t="s">
        <v>413</v>
      </c>
      <c r="F14" s="3" t="s">
        <v>517</v>
      </c>
    </row>
    <row r="15" spans="1:6" ht="89.25" x14ac:dyDescent="0.25">
      <c r="A15" s="2" t="s">
        <v>166</v>
      </c>
      <c r="B15" s="2" t="s">
        <v>173</v>
      </c>
      <c r="C15" s="3" t="s">
        <v>174</v>
      </c>
      <c r="D15" s="19" t="b">
        <v>1</v>
      </c>
      <c r="E15" s="3" t="s">
        <v>414</v>
      </c>
      <c r="F15" s="3" t="s">
        <v>517</v>
      </c>
    </row>
    <row r="16" spans="1:6" ht="89.25" x14ac:dyDescent="0.25">
      <c r="A16" s="2" t="s">
        <v>166</v>
      </c>
      <c r="B16" s="2" t="s">
        <v>175</v>
      </c>
      <c r="C16" s="3" t="s">
        <v>176</v>
      </c>
      <c r="D16" s="19" t="b">
        <v>1</v>
      </c>
      <c r="E16" s="3" t="s">
        <v>415</v>
      </c>
      <c r="F16" s="3" t="s">
        <v>517</v>
      </c>
    </row>
    <row r="17" spans="1:6" x14ac:dyDescent="0.25">
      <c r="A17" s="31" t="s">
        <v>177</v>
      </c>
      <c r="B17" s="31"/>
      <c r="C17" s="31"/>
      <c r="D17" s="31"/>
      <c r="E17" s="31"/>
      <c r="F17" s="31"/>
    </row>
    <row r="18" spans="1:6" ht="51" x14ac:dyDescent="0.25">
      <c r="A18" s="2" t="s">
        <v>177</v>
      </c>
      <c r="B18" s="2" t="s">
        <v>178</v>
      </c>
      <c r="C18" s="3" t="s">
        <v>179</v>
      </c>
      <c r="D18" s="19" t="b">
        <v>1</v>
      </c>
      <c r="E18" s="3" t="s">
        <v>416</v>
      </c>
      <c r="F18" s="3" t="s">
        <v>180</v>
      </c>
    </row>
    <row r="19" spans="1:6" ht="51" x14ac:dyDescent="0.25">
      <c r="A19" s="2" t="s">
        <v>177</v>
      </c>
      <c r="B19" s="2" t="s">
        <v>181</v>
      </c>
      <c r="C19" s="3" t="s">
        <v>182</v>
      </c>
      <c r="D19" s="19" t="b">
        <v>1</v>
      </c>
      <c r="E19" s="3" t="s">
        <v>417</v>
      </c>
      <c r="F19" s="3" t="s">
        <v>183</v>
      </c>
    </row>
    <row r="20" spans="1:6" ht="51" x14ac:dyDescent="0.25">
      <c r="A20" s="2" t="s">
        <v>177</v>
      </c>
      <c r="B20" s="2" t="s">
        <v>184</v>
      </c>
      <c r="C20" s="3" t="s">
        <v>185</v>
      </c>
      <c r="D20" s="19" t="b">
        <v>1</v>
      </c>
      <c r="E20" s="3" t="s">
        <v>418</v>
      </c>
      <c r="F20" s="3" t="s">
        <v>186</v>
      </c>
    </row>
    <row r="21" spans="1:6" ht="51" x14ac:dyDescent="0.25">
      <c r="A21" s="2" t="s">
        <v>177</v>
      </c>
      <c r="B21" s="2" t="s">
        <v>187</v>
      </c>
      <c r="C21" s="3" t="s">
        <v>188</v>
      </c>
      <c r="D21" s="19" t="b">
        <v>1</v>
      </c>
      <c r="E21" s="3" t="s">
        <v>419</v>
      </c>
      <c r="F21" s="3" t="s">
        <v>189</v>
      </c>
    </row>
    <row r="22" spans="1:6" ht="51" x14ac:dyDescent="0.25">
      <c r="A22" s="2" t="s">
        <v>177</v>
      </c>
      <c r="B22" s="2" t="s">
        <v>190</v>
      </c>
      <c r="C22" s="3" t="s">
        <v>191</v>
      </c>
      <c r="D22" s="19" t="b">
        <v>1</v>
      </c>
      <c r="E22" s="3" t="s">
        <v>420</v>
      </c>
      <c r="F22" s="3" t="s">
        <v>192</v>
      </c>
    </row>
    <row r="23" spans="1:6" x14ac:dyDescent="0.25">
      <c r="A23" s="31" t="s">
        <v>193</v>
      </c>
      <c r="B23" s="31"/>
      <c r="C23" s="31"/>
      <c r="D23" s="31"/>
      <c r="E23" s="31"/>
      <c r="F23" s="31"/>
    </row>
    <row r="24" spans="1:6" ht="51" x14ac:dyDescent="0.25">
      <c r="A24" s="2" t="s">
        <v>193</v>
      </c>
      <c r="B24" s="2" t="s">
        <v>194</v>
      </c>
      <c r="C24" s="3" t="s">
        <v>195</v>
      </c>
      <c r="D24" s="2" t="s">
        <v>196</v>
      </c>
      <c r="E24" s="3" t="s">
        <v>421</v>
      </c>
      <c r="F24" s="3" t="s">
        <v>197</v>
      </c>
    </row>
  </sheetData>
  <autoFilter ref="A10:F24" xr:uid="{00000000-0001-0000-0300-000000000000}"/>
  <mergeCells count="9">
    <mergeCell ref="B8:F8"/>
    <mergeCell ref="A11:F11"/>
    <mergeCell ref="A17:F17"/>
    <mergeCell ref="A23:F23"/>
    <mergeCell ref="A1:F1"/>
    <mergeCell ref="A3:F3"/>
    <mergeCell ref="B4:F4"/>
    <mergeCell ref="B5:F5"/>
    <mergeCell ref="B7:F7"/>
  </mergeCells>
  <dataValidations count="1">
    <dataValidation type="list" allowBlank="1" showInputMessage="1" showErrorMessage="1" sqref="D12:D16 D18:D22" xr:uid="{B1AA5C4E-6D2D-4E22-BFA6-0507ECD33863}">
      <formula1>"True,False,Partial,Not Applicable"</formula1>
    </dataValidation>
  </dataValidations>
  <hyperlinks>
    <hyperlink ref="F13" r:id="rId1" display="https://meridian-knowledge-solutions.github.io/fedramp_20x_public_submission_live/" xr:uid="{A031539E-E7D3-4030-91DB-14F86863BC3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pane xSplit="2" ySplit="3" topLeftCell="C4" activePane="bottomRight" state="frozen"/>
      <selection pane="topRight" activeCell="C1" sqref="C1"/>
      <selection pane="bottomLeft" activeCell="A4" sqref="A4"/>
      <selection pane="bottomRight" activeCell="E4" sqref="E4"/>
    </sheetView>
  </sheetViews>
  <sheetFormatPr defaultRowHeight="15" x14ac:dyDescent="0.25"/>
  <cols>
    <col min="1" max="1" width="15.7109375" customWidth="1"/>
    <col min="2" max="2" width="20.7109375" customWidth="1"/>
    <col min="3" max="3" width="30.7109375" customWidth="1"/>
    <col min="4" max="4" width="20.7109375" customWidth="1"/>
    <col min="5" max="5" width="60.7109375" customWidth="1"/>
  </cols>
  <sheetData>
    <row r="1" spans="1:5" ht="24.95" customHeight="1" x14ac:dyDescent="0.35">
      <c r="A1" s="22" t="s">
        <v>198</v>
      </c>
      <c r="B1" s="22"/>
      <c r="C1" s="22"/>
      <c r="D1" s="22"/>
      <c r="E1" s="22"/>
    </row>
    <row r="2" spans="1:5" ht="20.100000000000001" customHeight="1" x14ac:dyDescent="0.25"/>
    <row r="3" spans="1:5" ht="20.100000000000001" customHeight="1" x14ac:dyDescent="0.25">
      <c r="A3" s="4" t="s">
        <v>199</v>
      </c>
      <c r="B3" s="4" t="s">
        <v>200</v>
      </c>
      <c r="C3" s="4" t="s">
        <v>201</v>
      </c>
      <c r="D3" s="4" t="s">
        <v>202</v>
      </c>
      <c r="E3" s="4" t="s">
        <v>203</v>
      </c>
    </row>
    <row r="4" spans="1:5" ht="204" x14ac:dyDescent="0.25">
      <c r="A4" s="2" t="s">
        <v>204</v>
      </c>
      <c r="B4" s="2" t="s">
        <v>24</v>
      </c>
      <c r="C4" s="2" t="s">
        <v>485</v>
      </c>
      <c r="D4" s="3" t="s">
        <v>478</v>
      </c>
      <c r="E4" s="3" t="s">
        <v>451</v>
      </c>
    </row>
    <row r="5" spans="1:5" ht="204" x14ac:dyDescent="0.25">
      <c r="A5" s="2" t="s">
        <v>204</v>
      </c>
      <c r="B5" s="2" t="s">
        <v>28</v>
      </c>
      <c r="C5" s="2" t="s">
        <v>486</v>
      </c>
      <c r="D5" s="3" t="s">
        <v>478</v>
      </c>
      <c r="E5" s="3" t="s">
        <v>452</v>
      </c>
    </row>
    <row r="6" spans="1:5" ht="178.5" x14ac:dyDescent="0.25">
      <c r="A6" s="2" t="s">
        <v>204</v>
      </c>
      <c r="B6" s="2" t="s">
        <v>30</v>
      </c>
      <c r="C6" s="2" t="s">
        <v>487</v>
      </c>
      <c r="D6" s="3" t="s">
        <v>478</v>
      </c>
      <c r="E6" s="3" t="s">
        <v>453</v>
      </c>
    </row>
    <row r="7" spans="1:5" ht="178.5" x14ac:dyDescent="0.25">
      <c r="A7" s="2" t="s">
        <v>204</v>
      </c>
      <c r="B7" s="2" t="s">
        <v>32</v>
      </c>
      <c r="C7" s="2" t="s">
        <v>489</v>
      </c>
      <c r="D7" s="3" t="s">
        <v>478</v>
      </c>
      <c r="E7" s="3" t="s">
        <v>454</v>
      </c>
    </row>
    <row r="8" spans="1:5" ht="242.25" x14ac:dyDescent="0.25">
      <c r="A8" s="2" t="s">
        <v>204</v>
      </c>
      <c r="B8" s="2" t="s">
        <v>34</v>
      </c>
      <c r="C8" s="2" t="s">
        <v>488</v>
      </c>
      <c r="D8" s="3" t="s">
        <v>484</v>
      </c>
      <c r="E8" s="3" t="s">
        <v>455</v>
      </c>
    </row>
    <row r="9" spans="1:5" ht="293.25" x14ac:dyDescent="0.25">
      <c r="A9" s="2" t="s">
        <v>204</v>
      </c>
      <c r="B9" s="2" t="s">
        <v>36</v>
      </c>
      <c r="C9" s="2" t="s">
        <v>490</v>
      </c>
      <c r="D9" s="3" t="s">
        <v>483</v>
      </c>
      <c r="E9" s="3" t="s">
        <v>456</v>
      </c>
    </row>
    <row r="10" spans="1:5" ht="178.5" x14ac:dyDescent="0.25">
      <c r="A10" s="2" t="s">
        <v>204</v>
      </c>
      <c r="B10" s="2" t="s">
        <v>39</v>
      </c>
      <c r="C10" s="2" t="s">
        <v>491</v>
      </c>
      <c r="D10" s="3" t="s">
        <v>482</v>
      </c>
      <c r="E10" s="3" t="s">
        <v>457</v>
      </c>
    </row>
    <row r="11" spans="1:5" ht="127.5" x14ac:dyDescent="0.25">
      <c r="A11" s="2" t="s">
        <v>204</v>
      </c>
      <c r="B11" s="2" t="s">
        <v>41</v>
      </c>
      <c r="C11" s="2" t="s">
        <v>492</v>
      </c>
      <c r="D11" s="3" t="s">
        <v>479</v>
      </c>
      <c r="E11" s="3" t="s">
        <v>458</v>
      </c>
    </row>
    <row r="12" spans="1:5" ht="178.5" x14ac:dyDescent="0.25">
      <c r="A12" s="2" t="s">
        <v>204</v>
      </c>
      <c r="B12" s="2" t="s">
        <v>43</v>
      </c>
      <c r="C12" s="2" t="s">
        <v>493</v>
      </c>
      <c r="D12" s="3" t="s">
        <v>480</v>
      </c>
      <c r="E12" s="3" t="s">
        <v>461</v>
      </c>
    </row>
    <row r="13" spans="1:5" ht="165.75" x14ac:dyDescent="0.25">
      <c r="A13" s="2" t="s">
        <v>204</v>
      </c>
      <c r="B13" s="2" t="s">
        <v>45</v>
      </c>
      <c r="C13" s="2" t="s">
        <v>494</v>
      </c>
      <c r="D13" s="3" t="s">
        <v>481</v>
      </c>
      <c r="E13" s="3" t="s">
        <v>460</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workbookViewId="0">
      <selection activeCell="A3" sqref="A3"/>
    </sheetView>
  </sheetViews>
  <sheetFormatPr defaultRowHeight="15" x14ac:dyDescent="0.25"/>
  <cols>
    <col min="1" max="1" width="10.7109375" style="16" customWidth="1"/>
    <col min="2" max="2" width="20.7109375" style="16" customWidth="1"/>
    <col min="3" max="3" width="40.7109375" customWidth="1"/>
    <col min="4" max="4" width="15.7109375" customWidth="1"/>
    <col min="5" max="5" width="80.7109375" customWidth="1"/>
  </cols>
  <sheetData>
    <row r="1" spans="1:5" ht="24.95" customHeight="1" x14ac:dyDescent="0.35">
      <c r="A1" s="22" t="s">
        <v>205</v>
      </c>
      <c r="B1" s="22"/>
      <c r="C1" s="22"/>
      <c r="D1" s="22"/>
      <c r="E1" s="22"/>
    </row>
    <row r="2" spans="1:5" ht="20.100000000000001" customHeight="1" x14ac:dyDescent="0.25"/>
    <row r="3" spans="1:5" ht="20.100000000000001" customHeight="1" x14ac:dyDescent="0.25">
      <c r="A3" s="4" t="s">
        <v>206</v>
      </c>
      <c r="B3" s="4" t="s">
        <v>207</v>
      </c>
      <c r="C3" s="4" t="s">
        <v>208</v>
      </c>
      <c r="D3" s="4" t="s">
        <v>209</v>
      </c>
      <c r="E3" s="4" t="s">
        <v>210</v>
      </c>
    </row>
    <row r="4" spans="1:5" ht="200.25" customHeight="1" x14ac:dyDescent="0.25">
      <c r="A4" s="11" t="s">
        <v>495</v>
      </c>
      <c r="B4" s="6" t="s">
        <v>500</v>
      </c>
      <c r="C4" s="18" t="s">
        <v>499</v>
      </c>
      <c r="D4" s="17" t="s">
        <v>505</v>
      </c>
      <c r="E4" s="3" t="s">
        <v>447</v>
      </c>
    </row>
    <row r="5" spans="1:5" ht="89.25" x14ac:dyDescent="0.25">
      <c r="A5" s="11" t="s">
        <v>495</v>
      </c>
      <c r="B5" s="14" t="s">
        <v>496</v>
      </c>
      <c r="C5" s="18" t="s">
        <v>502</v>
      </c>
      <c r="D5" s="17" t="s">
        <v>505</v>
      </c>
      <c r="E5" s="3" t="s">
        <v>501</v>
      </c>
    </row>
    <row r="6" spans="1:5" ht="103.5" customHeight="1" x14ac:dyDescent="0.25">
      <c r="A6" s="11" t="s">
        <v>495</v>
      </c>
      <c r="B6" s="14" t="s">
        <v>497</v>
      </c>
      <c r="C6" s="18" t="s">
        <v>508</v>
      </c>
      <c r="D6" s="17" t="s">
        <v>505</v>
      </c>
      <c r="E6" s="3" t="s">
        <v>507</v>
      </c>
    </row>
    <row r="7" spans="1:5" ht="102" x14ac:dyDescent="0.25">
      <c r="A7" s="11" t="s">
        <v>495</v>
      </c>
      <c r="B7" s="14" t="s">
        <v>506</v>
      </c>
      <c r="C7" s="18" t="s">
        <v>503</v>
      </c>
      <c r="D7" s="17" t="s">
        <v>505</v>
      </c>
      <c r="E7" s="3" t="s">
        <v>509</v>
      </c>
    </row>
    <row r="8" spans="1:5" ht="114.75" x14ac:dyDescent="0.25">
      <c r="A8" s="11" t="s">
        <v>495</v>
      </c>
      <c r="B8" s="11" t="s">
        <v>498</v>
      </c>
      <c r="C8" s="18" t="s">
        <v>504</v>
      </c>
      <c r="D8" s="17" t="s">
        <v>505</v>
      </c>
      <c r="E8" s="3" t="s">
        <v>450</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CEB65D0B51DB42B179325527F77EA0" ma:contentTypeVersion="11" ma:contentTypeDescription="Create a new document." ma:contentTypeScope="" ma:versionID="aab017cc68a2606b7b3d3453437a383a">
  <xsd:schema xmlns:xsd="http://www.w3.org/2001/XMLSchema" xmlns:xs="http://www.w3.org/2001/XMLSchema" xmlns:p="http://schemas.microsoft.com/office/2006/metadata/properties" xmlns:ns2="20f10bee-023b-4d7d-9e46-a5dcfbaf2a5b" xmlns:ns3="29088701-739f-4856-8c46-907254fafbae" targetNamespace="http://schemas.microsoft.com/office/2006/metadata/properties" ma:root="true" ma:fieldsID="71167efd51e83954db5e37ff41d9a144" ns2:_="" ns3:_="">
    <xsd:import namespace="20f10bee-023b-4d7d-9e46-a5dcfbaf2a5b"/>
    <xsd:import namespace="29088701-739f-4856-8c46-907254fafb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f10bee-023b-4d7d-9e46-a5dcfbaf2a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fe696a2-ec31-49e0-ac67-d18f1012751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9088701-739f-4856-8c46-907254fafba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aff43a-0afb-4a6d-a02c-a8657455f15d}" ma:internalName="TaxCatchAll" ma:showField="CatchAllData" ma:web="29088701-739f-4856-8c46-907254fafb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f10bee-023b-4d7d-9e46-a5dcfbaf2a5b">
      <Terms xmlns="http://schemas.microsoft.com/office/infopath/2007/PartnerControls"/>
    </lcf76f155ced4ddcb4097134ff3c332f>
    <TaxCatchAll xmlns="29088701-739f-4856-8c46-907254fafbae" xsi:nil="true"/>
  </documentManagement>
</p:properties>
</file>

<file path=customXml/itemProps1.xml><?xml version="1.0" encoding="utf-8"?>
<ds:datastoreItem xmlns:ds="http://schemas.openxmlformats.org/officeDocument/2006/customXml" ds:itemID="{D6C70588-90BD-4DAA-90F2-AF0A430B2F64}">
  <ds:schemaRefs>
    <ds:schemaRef ds:uri="http://schemas.microsoft.com/sharepoint/v3/contenttype/forms"/>
  </ds:schemaRefs>
</ds:datastoreItem>
</file>

<file path=customXml/itemProps2.xml><?xml version="1.0" encoding="utf-8"?>
<ds:datastoreItem xmlns:ds="http://schemas.openxmlformats.org/officeDocument/2006/customXml" ds:itemID="{98A4EB9E-8068-424F-9FB6-53ED695F23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f10bee-023b-4d7d-9e46-a5dcfbaf2a5b"/>
    <ds:schemaRef ds:uri="29088701-739f-4856-8c46-907254fafb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8989EC-73CC-4E74-AB22-3984ABB2C51D}">
  <ds:schemaRefs>
    <ds:schemaRef ds:uri="http://schemas.microsoft.com/office/2006/metadata/properties"/>
    <ds:schemaRef ds:uri="http://schemas.microsoft.com/office/infopath/2007/PartnerControls"/>
    <ds:schemaRef ds:uri="20f10bee-023b-4d7d-9e46-a5dcfbaf2a5b"/>
    <ds:schemaRef ds:uri="29088701-739f-4856-8c46-907254fafb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Assessment Overview</vt:lpstr>
      <vt:lpstr>KSI Assessment Details</vt:lpstr>
      <vt:lpstr>KSI Requirements</vt:lpstr>
      <vt:lpstr>MAS Assessment</vt:lpstr>
      <vt:lpstr>Evidence Tracker</vt:lpstr>
      <vt:lpstr>Findings &amp; 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Jim Hinsey</cp:lastModifiedBy>
  <cp:revision/>
  <dcterms:created xsi:type="dcterms:W3CDTF">2025-06-10T08:57:44Z</dcterms:created>
  <dcterms:modified xsi:type="dcterms:W3CDTF">2025-06-27T03:10:48Z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0x010100A7CEB65D0B51DB42B179325527F77EA0</vt:lpwstr>
  </property>
  <property fmtid="{D5CDD505-2E9C-101B-9397-08002B2CF9AE}" pid="3" name="MSIP_Label_c88f3f9d-2ea7-4bd4-95ac-f44f6be7d35b_Enabled">
    <vt:lpwstr>True</vt:lpwstr>
  </property>
  <property fmtid="{D5CDD505-2E9C-101B-9397-08002B2CF9AE}" pid="4" name="MSIP_Label_c88f3f9d-2ea7-4bd4-95ac-f44f6be7d35b_SiteId">
    <vt:lpwstr>b59d83a2-9483-422f-bcc8-eff3d0421654</vt:lpwstr>
  </property>
  <property fmtid="{D5CDD505-2E9C-101B-9397-08002B2CF9AE}" pid="5" name="MSIP_Label_c88f3f9d-2ea7-4bd4-95ac-f44f6be7d35b_SetDate">
    <vt:lpwstr>2025-06-10T09:01:32Z</vt:lpwstr>
  </property>
  <property fmtid="{D5CDD505-2E9C-101B-9397-08002B2CF9AE}" pid="6" name="MSIP_Label_c88f3f9d-2ea7-4bd4-95ac-f44f6be7d35b_Name">
    <vt:lpwstr>Proprietary \ All</vt:lpwstr>
  </property>
  <property fmtid="{D5CDD505-2E9C-101B-9397-08002B2CF9AE}" pid="7" name="MSIP_Label_c88f3f9d-2ea7-4bd4-95ac-f44f6be7d35b_ActionId">
    <vt:lpwstr>be91eeea-04de-4c05-bbce-44c25f2264f8</vt:lpwstr>
  </property>
  <property fmtid="{D5CDD505-2E9C-101B-9397-08002B2CF9AE}" pid="8" name="MSIP_Label_c88f3f9d-2ea7-4bd4-95ac-f44f6be7d35b_Removed">
    <vt:lpwstr>False</vt:lpwstr>
  </property>
  <property fmtid="{D5CDD505-2E9C-101B-9397-08002B2CF9AE}" pid="9" name="MSIP_Label_c88f3f9d-2ea7-4bd4-95ac-f44f6be7d35b_Parent">
    <vt:lpwstr>65bf28d4-e0c2-4c07-a3fc-85f4fc7fef85</vt:lpwstr>
  </property>
  <property fmtid="{D5CDD505-2E9C-101B-9397-08002B2CF9AE}" pid="10" name="MSIP_Label_c88f3f9d-2ea7-4bd4-95ac-f44f6be7d35b_Extended_MSFT_Method">
    <vt:lpwstr>Standard</vt:lpwstr>
  </property>
  <property fmtid="{D5CDD505-2E9C-101B-9397-08002B2CF9AE}" pid="11" name="MSIP_Label_65bf28d4-e0c2-4c07-a3fc-85f4fc7fef85_Enabled">
    <vt:lpwstr>True</vt:lpwstr>
  </property>
  <property fmtid="{D5CDD505-2E9C-101B-9397-08002B2CF9AE}" pid="12" name="MSIP_Label_65bf28d4-e0c2-4c07-a3fc-85f4fc7fef85_SiteId">
    <vt:lpwstr>b59d83a2-9483-422f-bcc8-eff3d0421654</vt:lpwstr>
  </property>
  <property fmtid="{D5CDD505-2E9C-101B-9397-08002B2CF9AE}" pid="13" name="MSIP_Label_65bf28d4-e0c2-4c07-a3fc-85f4fc7fef85_SetDate">
    <vt:lpwstr>2025-06-10T09:01:32Z</vt:lpwstr>
  </property>
  <property fmtid="{D5CDD505-2E9C-101B-9397-08002B2CF9AE}" pid="14" name="MSIP_Label_65bf28d4-e0c2-4c07-a3fc-85f4fc7fef85_Name">
    <vt:lpwstr>Proprietary</vt:lpwstr>
  </property>
  <property fmtid="{D5CDD505-2E9C-101B-9397-08002B2CF9AE}" pid="15" name="MSIP_Label_65bf28d4-e0c2-4c07-a3fc-85f4fc7fef85_ActionId">
    <vt:lpwstr>c411fe72-66e0-4d41-bc23-9cbbf316a903</vt:lpwstr>
  </property>
  <property fmtid="{D5CDD505-2E9C-101B-9397-08002B2CF9AE}" pid="16" name="MSIP_Label_65bf28d4-e0c2-4c07-a3fc-85f4fc7fef85_Extended_MSFT_Method">
    <vt:lpwstr>Standard</vt:lpwstr>
  </property>
  <property fmtid="{D5CDD505-2E9C-101B-9397-08002B2CF9AE}" pid="17" name="Sensitivity">
    <vt:lpwstr>Proprietary \ All Proprietary</vt:lpwstr>
  </property>
  <property fmtid="{D5CDD505-2E9C-101B-9397-08002B2CF9AE}" pid="18" name="MediaServiceImageTags">
    <vt:lpwstr/>
  </property>
</Properties>
</file>